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4\Downloads\path-sage-main\"/>
    </mc:Choice>
  </mc:AlternateContent>
  <xr:revisionPtr revIDLastSave="0" documentId="8_{7893708D-9070-4D27-B427-93A7804AD092}" xr6:coauthVersionLast="47" xr6:coauthVersionMax="47" xr10:uidLastSave="{00000000-0000-0000-0000-000000000000}"/>
  <bookViews>
    <workbookView xWindow="-108" yWindow="-108" windowWidth="23256" windowHeight="12576" activeTab="1" xr2:uid="{77C8AFCE-2829-4AAE-8100-B07B9F5A4428}"/>
  </bookViews>
  <sheets>
    <sheet name="Sheet1" sheetId="1" r:id="rId1"/>
    <sheet name="GraphSAGE vs GAT vs GC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2" l="1"/>
  <c r="M5" i="2"/>
  <c r="N5" i="2"/>
  <c r="O5" i="2"/>
  <c r="P5" i="2"/>
  <c r="Q5" i="2"/>
  <c r="R5" i="2"/>
  <c r="S5" i="2"/>
  <c r="L6" i="2"/>
  <c r="M6" i="2"/>
  <c r="N6" i="2"/>
  <c r="O6" i="2"/>
  <c r="P6" i="2"/>
  <c r="Q6" i="2"/>
  <c r="R6" i="2"/>
  <c r="S6" i="2"/>
  <c r="L7" i="2"/>
  <c r="M7" i="2"/>
  <c r="N7" i="2"/>
  <c r="O7" i="2"/>
  <c r="P7" i="2"/>
  <c r="Q7" i="2"/>
  <c r="R7" i="2"/>
  <c r="S7" i="2"/>
  <c r="L8" i="2"/>
  <c r="M8" i="2"/>
  <c r="N8" i="2"/>
  <c r="O8" i="2"/>
  <c r="P8" i="2"/>
  <c r="Q8" i="2"/>
  <c r="R8" i="2"/>
  <c r="S8" i="2"/>
  <c r="L9" i="2"/>
  <c r="M9" i="2"/>
  <c r="N9" i="2"/>
  <c r="O9" i="2"/>
  <c r="P9" i="2"/>
  <c r="Q9" i="2"/>
  <c r="R9" i="2"/>
  <c r="S9" i="2"/>
  <c r="L10" i="2"/>
  <c r="M10" i="2"/>
  <c r="N10" i="2"/>
  <c r="O10" i="2"/>
  <c r="P10" i="2"/>
  <c r="Q10" i="2"/>
  <c r="R10" i="2"/>
  <c r="S10" i="2"/>
  <c r="L11" i="2"/>
  <c r="M11" i="2"/>
  <c r="N11" i="2"/>
  <c r="O11" i="2"/>
  <c r="P11" i="2"/>
  <c r="Q11" i="2"/>
  <c r="R11" i="2"/>
  <c r="S11" i="2"/>
  <c r="L12" i="2"/>
  <c r="M12" i="2"/>
  <c r="N12" i="2"/>
  <c r="O12" i="2"/>
  <c r="P12" i="2"/>
  <c r="Q12" i="2"/>
  <c r="R12" i="2"/>
  <c r="S12" i="2"/>
  <c r="L13" i="2"/>
  <c r="M13" i="2"/>
  <c r="N13" i="2"/>
  <c r="O13" i="2"/>
  <c r="P13" i="2"/>
  <c r="Q13" i="2"/>
  <c r="R13" i="2"/>
  <c r="S13" i="2"/>
  <c r="L14" i="2"/>
  <c r="M14" i="2"/>
  <c r="N14" i="2"/>
  <c r="O14" i="2"/>
  <c r="P14" i="2"/>
  <c r="Q14" i="2"/>
  <c r="R14" i="2"/>
  <c r="S14" i="2"/>
  <c r="L15" i="2"/>
  <c r="M15" i="2"/>
  <c r="N15" i="2"/>
  <c r="O15" i="2"/>
  <c r="P15" i="2"/>
  <c r="Q15" i="2"/>
  <c r="R15" i="2"/>
  <c r="S15" i="2"/>
  <c r="L16" i="2"/>
  <c r="M16" i="2"/>
  <c r="N16" i="2"/>
  <c r="O16" i="2"/>
  <c r="P16" i="2"/>
  <c r="Q16" i="2"/>
  <c r="R16" i="2"/>
  <c r="S16" i="2"/>
  <c r="L17" i="2"/>
  <c r="M17" i="2"/>
  <c r="N17" i="2"/>
  <c r="O17" i="2"/>
  <c r="P17" i="2"/>
  <c r="Q17" i="2"/>
  <c r="R17" i="2"/>
  <c r="S17" i="2"/>
  <c r="L18" i="2"/>
  <c r="M18" i="2"/>
  <c r="N18" i="2"/>
  <c r="O18" i="2"/>
  <c r="P18" i="2"/>
  <c r="Q18" i="2"/>
  <c r="R18" i="2"/>
  <c r="S18" i="2"/>
  <c r="L24" i="2"/>
  <c r="M24" i="2"/>
  <c r="N24" i="2"/>
  <c r="O24" i="2"/>
  <c r="P24" i="2"/>
  <c r="Q24" i="2"/>
  <c r="R24" i="2"/>
  <c r="S24" i="2"/>
  <c r="L25" i="2"/>
  <c r="M25" i="2"/>
  <c r="N25" i="2"/>
  <c r="O25" i="2"/>
  <c r="P25" i="2"/>
  <c r="Q25" i="2"/>
  <c r="R25" i="2"/>
  <c r="S25" i="2"/>
  <c r="L26" i="2"/>
  <c r="M26" i="2"/>
  <c r="N26" i="2"/>
  <c r="O26" i="2"/>
  <c r="P26" i="2"/>
  <c r="Q26" i="2"/>
  <c r="R26" i="2"/>
  <c r="S26" i="2"/>
  <c r="L27" i="2"/>
  <c r="M27" i="2"/>
  <c r="N27" i="2"/>
  <c r="O27" i="2"/>
  <c r="P27" i="2"/>
  <c r="Q27" i="2"/>
  <c r="R27" i="2"/>
  <c r="S27" i="2"/>
  <c r="L28" i="2"/>
  <c r="M28" i="2"/>
  <c r="N28" i="2"/>
  <c r="O28" i="2"/>
  <c r="P28" i="2"/>
  <c r="Q28" i="2"/>
  <c r="R28" i="2"/>
  <c r="S28" i="2"/>
  <c r="L29" i="2"/>
  <c r="M29" i="2"/>
  <c r="N29" i="2"/>
  <c r="O29" i="2"/>
  <c r="P29" i="2"/>
  <c r="Q29" i="2"/>
  <c r="R29" i="2"/>
  <c r="S29" i="2"/>
  <c r="L30" i="2"/>
  <c r="M30" i="2"/>
  <c r="N30" i="2"/>
  <c r="O30" i="2"/>
  <c r="P30" i="2"/>
  <c r="Q30" i="2"/>
  <c r="R30" i="2"/>
  <c r="S30" i="2"/>
  <c r="L31" i="2"/>
  <c r="M31" i="2"/>
  <c r="N31" i="2"/>
  <c r="O31" i="2"/>
  <c r="P31" i="2"/>
  <c r="Q31" i="2"/>
  <c r="R31" i="2"/>
  <c r="S31" i="2"/>
  <c r="L32" i="2"/>
  <c r="M32" i="2"/>
  <c r="N32" i="2"/>
  <c r="O32" i="2"/>
  <c r="P32" i="2"/>
  <c r="Q32" i="2"/>
  <c r="R32" i="2"/>
  <c r="S32" i="2"/>
  <c r="L33" i="2"/>
  <c r="M33" i="2"/>
  <c r="N33" i="2"/>
  <c r="O33" i="2"/>
  <c r="P33" i="2"/>
  <c r="Q33" i="2"/>
  <c r="R33" i="2"/>
  <c r="S33" i="2"/>
  <c r="L34" i="2"/>
  <c r="M34" i="2"/>
  <c r="N34" i="2"/>
  <c r="O34" i="2"/>
  <c r="P34" i="2"/>
  <c r="Q34" i="2"/>
  <c r="R34" i="2"/>
  <c r="S34" i="2"/>
  <c r="L35" i="2"/>
  <c r="M35" i="2"/>
  <c r="N35" i="2"/>
  <c r="O35" i="2"/>
  <c r="P35" i="2"/>
  <c r="Q35" i="2"/>
  <c r="R35" i="2"/>
  <c r="S35" i="2"/>
  <c r="L36" i="2"/>
  <c r="M36" i="2"/>
  <c r="N36" i="2"/>
  <c r="O36" i="2"/>
  <c r="P36" i="2"/>
  <c r="Q36" i="2"/>
  <c r="R36" i="2"/>
  <c r="S36" i="2"/>
  <c r="L37" i="2"/>
  <c r="M37" i="2"/>
  <c r="N37" i="2"/>
  <c r="O37" i="2"/>
  <c r="P37" i="2"/>
  <c r="Q37" i="2"/>
  <c r="R37" i="2"/>
  <c r="S37" i="2"/>
  <c r="L42" i="2"/>
  <c r="M42" i="2"/>
  <c r="N42" i="2"/>
  <c r="O42" i="2"/>
  <c r="P42" i="2"/>
  <c r="Q42" i="2"/>
  <c r="R42" i="2"/>
  <c r="S42" i="2"/>
  <c r="L43" i="2"/>
  <c r="M43" i="2"/>
  <c r="N43" i="2"/>
  <c r="O43" i="2"/>
  <c r="P43" i="2"/>
  <c r="Q43" i="2"/>
  <c r="R43" i="2"/>
  <c r="S43" i="2"/>
  <c r="L44" i="2"/>
  <c r="M44" i="2"/>
  <c r="N44" i="2"/>
  <c r="O44" i="2"/>
  <c r="P44" i="2"/>
  <c r="Q44" i="2"/>
  <c r="R44" i="2"/>
  <c r="S44" i="2"/>
  <c r="L45" i="2"/>
  <c r="M45" i="2"/>
  <c r="N45" i="2"/>
  <c r="O45" i="2"/>
  <c r="P45" i="2"/>
  <c r="Q45" i="2"/>
  <c r="R45" i="2"/>
  <c r="S45" i="2"/>
  <c r="L46" i="2"/>
  <c r="M46" i="2"/>
  <c r="N46" i="2"/>
  <c r="O46" i="2"/>
  <c r="P46" i="2"/>
  <c r="Q46" i="2"/>
  <c r="R46" i="2"/>
  <c r="S46" i="2"/>
  <c r="L47" i="2"/>
  <c r="M47" i="2"/>
  <c r="N47" i="2"/>
  <c r="O47" i="2"/>
  <c r="P47" i="2"/>
  <c r="Q47" i="2"/>
  <c r="R47" i="2"/>
  <c r="S47" i="2"/>
  <c r="L48" i="2"/>
  <c r="M48" i="2"/>
  <c r="N48" i="2"/>
  <c r="O48" i="2"/>
  <c r="P48" i="2"/>
  <c r="Q48" i="2"/>
  <c r="R48" i="2"/>
  <c r="S48" i="2"/>
  <c r="L49" i="2"/>
  <c r="M49" i="2"/>
  <c r="N49" i="2"/>
  <c r="O49" i="2"/>
  <c r="P49" i="2"/>
  <c r="Q49" i="2"/>
  <c r="R49" i="2"/>
  <c r="S49" i="2"/>
  <c r="L50" i="2"/>
  <c r="M50" i="2"/>
  <c r="N50" i="2"/>
  <c r="O50" i="2"/>
  <c r="P50" i="2"/>
  <c r="Q50" i="2"/>
  <c r="R50" i="2"/>
  <c r="S50" i="2"/>
  <c r="L51" i="2"/>
  <c r="M51" i="2"/>
  <c r="N51" i="2"/>
  <c r="O51" i="2"/>
  <c r="P51" i="2"/>
  <c r="Q51" i="2"/>
  <c r="R51" i="2"/>
  <c r="S51" i="2"/>
  <c r="L52" i="2"/>
  <c r="M52" i="2"/>
  <c r="N52" i="2"/>
  <c r="O52" i="2"/>
  <c r="P52" i="2"/>
  <c r="Q52" i="2"/>
  <c r="R52" i="2"/>
  <c r="S52" i="2"/>
  <c r="L53" i="2"/>
  <c r="M53" i="2"/>
  <c r="N53" i="2"/>
  <c r="O53" i="2"/>
  <c r="P53" i="2"/>
  <c r="Q53" i="2"/>
  <c r="R53" i="2"/>
  <c r="S53" i="2"/>
  <c r="L54" i="2"/>
  <c r="M54" i="2"/>
  <c r="N54" i="2"/>
  <c r="O54" i="2"/>
  <c r="P54" i="2"/>
  <c r="Q54" i="2"/>
  <c r="R54" i="2"/>
  <c r="S54" i="2"/>
  <c r="L55" i="2"/>
  <c r="M55" i="2"/>
  <c r="N55" i="2"/>
  <c r="O55" i="2"/>
  <c r="P55" i="2"/>
  <c r="Q55" i="2"/>
  <c r="R55" i="2"/>
  <c r="S55" i="2"/>
</calcChain>
</file>

<file path=xl/sharedStrings.xml><?xml version="1.0" encoding="utf-8"?>
<sst xmlns="http://schemas.openxmlformats.org/spreadsheetml/2006/main" count="102" uniqueCount="42">
  <si>
    <t>Average</t>
  </si>
  <si>
    <t>MathOverflow</t>
  </si>
  <si>
    <t>PS</t>
  </si>
  <si>
    <t>DNC</t>
  </si>
  <si>
    <t>Mathoverflow</t>
  </si>
  <si>
    <t>Emails</t>
  </si>
  <si>
    <t>SFHH</t>
  </si>
  <si>
    <t>Infectious</t>
  </si>
  <si>
    <t>HT2009</t>
  </si>
  <si>
    <t>HC</t>
  </si>
  <si>
    <t>WP</t>
  </si>
  <si>
    <t>HS2013</t>
  </si>
  <si>
    <t>HS2012</t>
  </si>
  <si>
    <t>HS2011</t>
  </si>
  <si>
    <t>Layer10</t>
  </si>
  <si>
    <t>Layer9</t>
  </si>
  <si>
    <t>Layer8</t>
  </si>
  <si>
    <t>Layer7</t>
  </si>
  <si>
    <t>Layer6</t>
  </si>
  <si>
    <t>Layer5</t>
  </si>
  <si>
    <t>Layer4</t>
  </si>
  <si>
    <t>Layer 2</t>
  </si>
  <si>
    <t>Layer3</t>
  </si>
  <si>
    <t>Layer2</t>
  </si>
  <si>
    <t>Dataset</t>
  </si>
  <si>
    <t>GAT</t>
  </si>
  <si>
    <t>Stackoverflow</t>
  </si>
  <si>
    <t>Network</t>
  </si>
  <si>
    <t>GraphSAGE</t>
  </si>
  <si>
    <t>HT 2009</t>
  </si>
  <si>
    <t>HS 2013</t>
  </si>
  <si>
    <t>HS 2012</t>
  </si>
  <si>
    <t>HS 2011</t>
  </si>
  <si>
    <t>Layer 10</t>
  </si>
  <si>
    <t>Layer 9</t>
  </si>
  <si>
    <t>Layer 8</t>
  </si>
  <si>
    <t>Layer 7</t>
  </si>
  <si>
    <t>Layer 6</t>
  </si>
  <si>
    <t>Layer 5</t>
  </si>
  <si>
    <t>Layer 4</t>
  </si>
  <si>
    <t>Layer 3</t>
  </si>
  <si>
    <t>GCN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</si>
</sst>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4AB1-FDE1-4868-891C-541FE83032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3D77-446E-470F-AADE-C487F9DD2751}">
  <dimension ref="A2:S55"/>
  <sheetViews>
    <sheetView tabSelected="1" workbookViewId="0">
      <selection activeCell="J17" sqref="J17"/>
    </sheetView>
  </sheetViews>
  <sheetFormatPr defaultRowHeight="14.4" x14ac:dyDescent="0.3"/>
  <cols>
    <col min="1" max="1" width="14.33203125" style="1" customWidth="1"/>
    <col min="2" max="2" width="8.44140625" style="1" customWidth="1"/>
    <col min="3" max="3" width="10.77734375" style="1" customWidth="1"/>
    <col min="4" max="11" width="8.88671875" style="1" customWidth="1"/>
    <col min="12" max="12" width="13.88671875" style="1" customWidth="1"/>
    <col min="13" max="13" width="11.5546875" style="1" bestFit="1" customWidth="1"/>
    <col min="14" max="16384" width="8.88671875" style="1"/>
  </cols>
  <sheetData>
    <row r="2" spans="1:19" x14ac:dyDescent="0.3">
      <c r="A2" s="19" t="s">
        <v>41</v>
      </c>
      <c r="B2" s="18"/>
      <c r="L2" s="19" t="s">
        <v>41</v>
      </c>
    </row>
    <row r="3" spans="1:19" x14ac:dyDescent="0.3">
      <c r="A3" s="18"/>
      <c r="B3" s="18"/>
    </row>
    <row r="4" spans="1:19" x14ac:dyDescent="0.3">
      <c r="A4" s="16" t="s">
        <v>24</v>
      </c>
      <c r="B4" s="16" t="s">
        <v>21</v>
      </c>
      <c r="C4" s="16" t="s">
        <v>40</v>
      </c>
      <c r="D4" s="16" t="s">
        <v>39</v>
      </c>
      <c r="E4" s="16" t="s">
        <v>38</v>
      </c>
      <c r="F4" s="16" t="s">
        <v>37</v>
      </c>
      <c r="G4" s="16" t="s">
        <v>36</v>
      </c>
      <c r="H4" s="16" t="s">
        <v>35</v>
      </c>
      <c r="I4" s="16" t="s">
        <v>34</v>
      </c>
      <c r="J4" s="16" t="s">
        <v>33</v>
      </c>
      <c r="K4" s="17"/>
      <c r="L4" s="16" t="s">
        <v>21</v>
      </c>
      <c r="M4" s="16" t="s">
        <v>39</v>
      </c>
      <c r="N4" s="16" t="s">
        <v>38</v>
      </c>
      <c r="O4" s="16" t="s">
        <v>37</v>
      </c>
      <c r="P4" s="16" t="s">
        <v>36</v>
      </c>
      <c r="Q4" s="16" t="s">
        <v>35</v>
      </c>
      <c r="R4" s="16" t="s">
        <v>34</v>
      </c>
      <c r="S4" s="16" t="s">
        <v>33</v>
      </c>
    </row>
    <row r="5" spans="1:19" ht="19.8" customHeight="1" x14ac:dyDescent="0.3">
      <c r="A5" s="10" t="s">
        <v>32</v>
      </c>
      <c r="B5" s="10">
        <v>0.74</v>
      </c>
      <c r="C5" s="14">
        <v>0.78779999999999994</v>
      </c>
      <c r="D5" s="12">
        <v>0.75419999999999998</v>
      </c>
      <c r="E5" s="12">
        <v>0.72150000000000003</v>
      </c>
      <c r="F5" s="12">
        <v>0.69979999999999998</v>
      </c>
      <c r="G5" s="12">
        <v>0.68200000000000005</v>
      </c>
      <c r="H5" s="12">
        <v>0.67020000000000002</v>
      </c>
      <c r="I5" s="12">
        <v>0.65900000000000003</v>
      </c>
      <c r="J5" s="12">
        <v>0.65210000000000001</v>
      </c>
      <c r="K5" s="13"/>
      <c r="L5" s="2">
        <f>((C5-B5)/B5)*100</f>
        <v>6.4594594594594534</v>
      </c>
      <c r="M5" s="2">
        <f>((C5-D5)/C5)*100</f>
        <v>4.2650418888042605</v>
      </c>
      <c r="N5" s="2">
        <f>((C5-E5)/C5)*100</f>
        <v>8.4158415841584056</v>
      </c>
      <c r="O5" s="2">
        <f>((C5-F5)/C5)*100</f>
        <v>11.170347804011167</v>
      </c>
      <c r="P5" s="2">
        <f>((C5-G5)/C5)*100</f>
        <v>13.429804518913418</v>
      </c>
      <c r="Q5" s="2">
        <f>((C5-H5)/H5)*100</f>
        <v>17.547000895255135</v>
      </c>
      <c r="R5" s="2">
        <f>((C5-I5)/C5)*100</f>
        <v>16.34932724041634</v>
      </c>
      <c r="S5" s="2">
        <f>((C5-J5)/C5)*100</f>
        <v>17.225184056867217</v>
      </c>
    </row>
    <row r="6" spans="1:19" x14ac:dyDescent="0.3">
      <c r="A6" s="10" t="s">
        <v>31</v>
      </c>
      <c r="B6" s="10">
        <v>0.69</v>
      </c>
      <c r="C6" s="14">
        <v>0.73099999999999998</v>
      </c>
      <c r="D6" s="12">
        <v>0.70120000000000005</v>
      </c>
      <c r="E6" s="12">
        <v>0.67649999999999999</v>
      </c>
      <c r="F6" s="12">
        <v>0.65510000000000002</v>
      </c>
      <c r="G6" s="12">
        <v>0.63870000000000005</v>
      </c>
      <c r="H6" s="12">
        <v>0.62909999999999999</v>
      </c>
      <c r="I6" s="12">
        <v>0.61850000000000005</v>
      </c>
      <c r="J6" s="12">
        <v>0.61099999999999999</v>
      </c>
      <c r="K6" s="13"/>
      <c r="L6" s="2">
        <f>((C6-B6)/B6)*100</f>
        <v>5.9420289855072523</v>
      </c>
      <c r="M6" s="2">
        <f>((C6-D6)/C6)*100</f>
        <v>4.0766073871408945</v>
      </c>
      <c r="N6" s="2">
        <f>((C6-E6)/C6)*100</f>
        <v>7.4555403556771536</v>
      </c>
      <c r="O6" s="2">
        <f>((C6-F6)/C6)*100</f>
        <v>10.38303693570451</v>
      </c>
      <c r="P6" s="2">
        <f>((C6-G6)/C6)*100</f>
        <v>12.626538987688091</v>
      </c>
      <c r="Q6" s="2">
        <f>((C6-H6)/H6)*100</f>
        <v>16.197742807184866</v>
      </c>
      <c r="R6" s="2">
        <f>((C6-I6)/C6)*100</f>
        <v>15.389876880984943</v>
      </c>
      <c r="S6" s="2">
        <f>((C6-J6)/C6)*100</f>
        <v>16.415868673050614</v>
      </c>
    </row>
    <row r="7" spans="1:19" x14ac:dyDescent="0.3">
      <c r="A7" s="10" t="s">
        <v>30</v>
      </c>
      <c r="B7" s="10">
        <v>0.60409999999999997</v>
      </c>
      <c r="C7" s="14">
        <v>0.6411</v>
      </c>
      <c r="D7" s="12">
        <v>0.61339999999999995</v>
      </c>
      <c r="E7" s="12">
        <v>0.58720000000000006</v>
      </c>
      <c r="F7" s="12">
        <v>0.56599999999999995</v>
      </c>
      <c r="G7" s="12">
        <v>0.55120000000000002</v>
      </c>
      <c r="H7" s="12">
        <v>0.54079999999999995</v>
      </c>
      <c r="I7" s="12">
        <v>0.52969999999999995</v>
      </c>
      <c r="J7" s="12">
        <v>0.52339999999999998</v>
      </c>
      <c r="K7" s="13"/>
      <c r="L7" s="2">
        <f>((C7-B7)/B7)*100</f>
        <v>6.1248137725542184</v>
      </c>
      <c r="M7" s="2">
        <f>((C7-D7)/C7)*100</f>
        <v>4.3206987989393317</v>
      </c>
      <c r="N7" s="2">
        <f>((C7-E7)/C7)*100</f>
        <v>8.4074247387302989</v>
      </c>
      <c r="O7" s="2">
        <f>((C7-F7)/C7)*100</f>
        <v>11.714241148026836</v>
      </c>
      <c r="P7" s="2">
        <f>((C7-G7)/C7)*100</f>
        <v>14.022773358290436</v>
      </c>
      <c r="Q7" s="2">
        <f>((C7-H7)/H7)*100</f>
        <v>18.546597633136106</v>
      </c>
      <c r="R7" s="2">
        <f>((C7-I7)/C7)*100</f>
        <v>17.376384339416635</v>
      </c>
      <c r="S7" s="2">
        <f>((C7-J7)/C7)*100</f>
        <v>18.359070347839655</v>
      </c>
    </row>
    <row r="8" spans="1:19" x14ac:dyDescent="0.3">
      <c r="A8" s="10" t="s">
        <v>10</v>
      </c>
      <c r="B8" s="10">
        <v>0.71599999999999997</v>
      </c>
      <c r="C8" s="14">
        <v>0.75800000000000001</v>
      </c>
      <c r="D8" s="12">
        <v>0.72870000000000001</v>
      </c>
      <c r="E8" s="12">
        <v>0.70040000000000002</v>
      </c>
      <c r="F8" s="12">
        <v>0.67800000000000005</v>
      </c>
      <c r="G8" s="12">
        <v>0.66139999999999999</v>
      </c>
      <c r="H8" s="12">
        <v>0.65200000000000002</v>
      </c>
      <c r="I8" s="12">
        <v>0.64180000000000004</v>
      </c>
      <c r="J8" s="12">
        <v>0.63419999999999999</v>
      </c>
      <c r="K8" s="13"/>
      <c r="L8" s="2">
        <f>((C8-B8)/B8)*100</f>
        <v>5.8659217877095031</v>
      </c>
      <c r="M8" s="2">
        <f>((C8-D8)/C8)*100</f>
        <v>3.8654353562005266</v>
      </c>
      <c r="N8" s="2">
        <f>((C8-E8)/C8)*100</f>
        <v>7.5989445910290225</v>
      </c>
      <c r="O8" s="2">
        <f>((C8-F8)/C8)*100</f>
        <v>10.554089709762527</v>
      </c>
      <c r="P8" s="2">
        <f>((C8-G8)/C8)*100</f>
        <v>12.74406332453826</v>
      </c>
      <c r="Q8" s="2">
        <f>((C8-H8)/H8)*100</f>
        <v>16.257668711656439</v>
      </c>
      <c r="R8" s="2">
        <f>((C8-I8)/C8)*100</f>
        <v>15.329815303430076</v>
      </c>
      <c r="S8" s="2">
        <f>((C8-J8)/C8)*100</f>
        <v>16.332453825857524</v>
      </c>
    </row>
    <row r="9" spans="1:19" x14ac:dyDescent="0.3">
      <c r="A9" s="10" t="s">
        <v>9</v>
      </c>
      <c r="B9" s="10">
        <v>0.63109999999999999</v>
      </c>
      <c r="C9" s="14">
        <v>0.67479999999999996</v>
      </c>
      <c r="D9" s="12">
        <v>0.64810000000000001</v>
      </c>
      <c r="E9" s="12">
        <v>0.62490000000000001</v>
      </c>
      <c r="F9" s="12">
        <v>0.60629999999999995</v>
      </c>
      <c r="G9" s="12">
        <v>0.59299999999999997</v>
      </c>
      <c r="H9" s="12">
        <v>0.58240000000000003</v>
      </c>
      <c r="I9" s="12">
        <v>0.57199999999999995</v>
      </c>
      <c r="J9" s="12">
        <v>0.56510000000000005</v>
      </c>
      <c r="K9" s="13"/>
      <c r="L9" s="2">
        <f>((C9-B9)/B9)*100</f>
        <v>6.9244176834099127</v>
      </c>
      <c r="M9" s="2">
        <f>((C9-D9)/C9)*100</f>
        <v>3.9567279193835132</v>
      </c>
      <c r="N9" s="2">
        <f>((C9-E9)/C9)*100</f>
        <v>7.3947836395969091</v>
      </c>
      <c r="O9" s="2">
        <f>((C9-F9)/C9)*100</f>
        <v>10.151155898043866</v>
      </c>
      <c r="P9" s="2">
        <f>((C9-G9)/C9)*100</f>
        <v>12.122110254890336</v>
      </c>
      <c r="Q9" s="2">
        <f>((C9-H9)/H9)*100</f>
        <v>15.865384615384601</v>
      </c>
      <c r="R9" s="2">
        <f>((C9-I9)/C9)*100</f>
        <v>15.234143449911086</v>
      </c>
      <c r="S9" s="2">
        <f>((C9-J9)/C9)*100</f>
        <v>16.256668642560747</v>
      </c>
    </row>
    <row r="10" spans="1:19" x14ac:dyDescent="0.3">
      <c r="A10" s="10" t="s">
        <v>29</v>
      </c>
      <c r="B10" s="10">
        <v>0.69399999999999995</v>
      </c>
      <c r="C10" s="14">
        <v>0.73</v>
      </c>
      <c r="D10" s="12">
        <v>0.70350000000000001</v>
      </c>
      <c r="E10" s="12">
        <v>0.67869999999999997</v>
      </c>
      <c r="F10" s="12">
        <v>0.65839999999999999</v>
      </c>
      <c r="G10" s="12">
        <v>0.64219999999999999</v>
      </c>
      <c r="H10" s="12">
        <v>0.63200000000000001</v>
      </c>
      <c r="I10" s="12">
        <v>0.62239999999999995</v>
      </c>
      <c r="J10" s="12">
        <v>0.61499999999999999</v>
      </c>
      <c r="K10" s="13"/>
      <c r="L10" s="2">
        <f>((C10-B10)/B10)*100</f>
        <v>5.1873198847262296</v>
      </c>
      <c r="M10" s="2">
        <f>((C10-D10)/C10)*100</f>
        <v>3.6301369863013653</v>
      </c>
      <c r="N10" s="2">
        <f>((C10-E10)/C10)*100</f>
        <v>7.0273972602739754</v>
      </c>
      <c r="O10" s="2">
        <f>((C10-F10)/C10)*100</f>
        <v>9.8082191780821919</v>
      </c>
      <c r="P10" s="2">
        <f>((C10-G10)/C10)*100</f>
        <v>12.027397260273972</v>
      </c>
      <c r="Q10" s="2">
        <f>((C10-H10)/H10)*100</f>
        <v>15.506329113924048</v>
      </c>
      <c r="R10" s="2">
        <f>((C10-I10)/C10)*100</f>
        <v>14.739726027397266</v>
      </c>
      <c r="S10" s="2">
        <f>((C10-J10)/C10)*100</f>
        <v>15.753424657534246</v>
      </c>
    </row>
    <row r="11" spans="1:19" x14ac:dyDescent="0.3">
      <c r="A11" s="10" t="s">
        <v>7</v>
      </c>
      <c r="B11" s="10">
        <v>0.65500000000000003</v>
      </c>
      <c r="C11" s="14">
        <v>0.70960000000000001</v>
      </c>
      <c r="D11" s="12">
        <v>0.68369999999999997</v>
      </c>
      <c r="E11" s="12">
        <v>0.65980000000000005</v>
      </c>
      <c r="F11" s="12">
        <v>0.64019999999999999</v>
      </c>
      <c r="G11" s="12">
        <v>0.625</v>
      </c>
      <c r="H11" s="12">
        <v>0.6149</v>
      </c>
      <c r="I11" s="12">
        <v>0.60529999999999995</v>
      </c>
      <c r="J11" s="12">
        <v>0.59799999999999998</v>
      </c>
      <c r="K11" s="13"/>
      <c r="L11" s="2">
        <f>((C11-B11)/B11)*100</f>
        <v>8.3358778625954173</v>
      </c>
      <c r="M11" s="2">
        <f>((C11-D11)/C11)*100</f>
        <v>3.6499436302142101</v>
      </c>
      <c r="N11" s="2">
        <f>((C11-E11)/C11)*100</f>
        <v>7.0180383314543331</v>
      </c>
      <c r="O11" s="2">
        <f>((C11-F11)/C11)*100</f>
        <v>9.7801578354002281</v>
      </c>
      <c r="P11" s="2">
        <f>((C11-G11)/C11)*100</f>
        <v>11.922209695603158</v>
      </c>
      <c r="Q11" s="2">
        <f>((C11-H11)/H11)*100</f>
        <v>15.400878191575867</v>
      </c>
      <c r="R11" s="2">
        <f>((C11-I11)/C11)*100</f>
        <v>14.698421645997753</v>
      </c>
      <c r="S11" s="2">
        <f>((C11-J11)/C11)*100</f>
        <v>15.727170236753105</v>
      </c>
    </row>
    <row r="12" spans="1:19" x14ac:dyDescent="0.3">
      <c r="A12" s="10" t="s">
        <v>6</v>
      </c>
      <c r="B12" s="10">
        <v>0.68410000000000004</v>
      </c>
      <c r="C12" s="14">
        <v>0.72529999999999994</v>
      </c>
      <c r="D12" s="12">
        <v>0.6986</v>
      </c>
      <c r="E12" s="12">
        <v>0.67379999999999995</v>
      </c>
      <c r="F12" s="12">
        <v>0.65339999999999998</v>
      </c>
      <c r="G12" s="12">
        <v>0.6371</v>
      </c>
      <c r="H12" s="12">
        <v>0.62670000000000003</v>
      </c>
      <c r="I12" s="12">
        <v>0.61619999999999997</v>
      </c>
      <c r="J12" s="12">
        <v>0.60870000000000002</v>
      </c>
      <c r="K12" s="13"/>
      <c r="L12" s="2">
        <f>((C12-B12)/B12)*100</f>
        <v>6.022511328753092</v>
      </c>
      <c r="M12" s="2">
        <f>((C12-D12)/C12)*100</f>
        <v>3.6812353508892803</v>
      </c>
      <c r="N12" s="2">
        <f>((C12-E12)/C12)*100</f>
        <v>7.100510133737763</v>
      </c>
      <c r="O12" s="2">
        <f>((C12-F12)/C12)*100</f>
        <v>9.9131393905969887</v>
      </c>
      <c r="P12" s="2">
        <f>((C12-G12)/C12)*100</f>
        <v>12.160485316420784</v>
      </c>
      <c r="Q12" s="2">
        <f>((C12-H12)/H12)*100</f>
        <v>15.733205680548892</v>
      </c>
      <c r="R12" s="2">
        <f>((C12-I12)/C12)*100</f>
        <v>15.042051564869707</v>
      </c>
      <c r="S12" s="2">
        <f>((C12-J12)/C12)*100</f>
        <v>16.076106438715005</v>
      </c>
    </row>
    <row r="13" spans="1:19" x14ac:dyDescent="0.3">
      <c r="A13" s="10" t="s">
        <v>5</v>
      </c>
      <c r="B13" s="10">
        <v>0.77849999999999997</v>
      </c>
      <c r="C13" s="14">
        <v>0.81269999999999998</v>
      </c>
      <c r="D13" s="12">
        <v>0.7823</v>
      </c>
      <c r="E13" s="12">
        <v>0.75380000000000003</v>
      </c>
      <c r="F13" s="12">
        <v>0.73199999999999998</v>
      </c>
      <c r="G13" s="12">
        <v>0.7147</v>
      </c>
      <c r="H13" s="12">
        <v>0.70389999999999997</v>
      </c>
      <c r="I13" s="12">
        <v>0.69310000000000005</v>
      </c>
      <c r="J13" s="12">
        <v>0.68600000000000005</v>
      </c>
      <c r="K13" s="13"/>
      <c r="L13" s="2">
        <f>((C13-B13)/B13)*100</f>
        <v>4.3930635838150298</v>
      </c>
      <c r="M13" s="2">
        <f>((C13-D13)/C13)*100</f>
        <v>3.740617694106064</v>
      </c>
      <c r="N13" s="2">
        <f>((C13-E13)/C13)*100</f>
        <v>7.2474467823304982</v>
      </c>
      <c r="O13" s="2">
        <f>((C13-F13)/C13)*100</f>
        <v>9.9298634182355112</v>
      </c>
      <c r="P13" s="2">
        <f>((C13-G13)/C13)*100</f>
        <v>12.058570198105079</v>
      </c>
      <c r="Q13" s="2">
        <f>((C13-H13)/H13)*100</f>
        <v>15.45674101434863</v>
      </c>
      <c r="R13" s="2">
        <f>((C13-I13)/C13)*100</f>
        <v>14.716377507075173</v>
      </c>
      <c r="S13" s="2">
        <f>((C13-J13)/C13)*100</f>
        <v>15.59000861326442</v>
      </c>
    </row>
    <row r="14" spans="1:19" x14ac:dyDescent="0.3">
      <c r="A14" s="10" t="s">
        <v>1</v>
      </c>
      <c r="B14" s="10">
        <v>0.78949999999999998</v>
      </c>
      <c r="C14" s="15">
        <v>0.82529999999999992</v>
      </c>
      <c r="D14" s="12">
        <v>0.79410000000000003</v>
      </c>
      <c r="E14" s="12">
        <v>0.76519999999999999</v>
      </c>
      <c r="F14" s="12">
        <v>0.74280000000000002</v>
      </c>
      <c r="G14" s="12">
        <v>0.72509999999999997</v>
      </c>
      <c r="H14" s="12">
        <v>0.71419999999999995</v>
      </c>
      <c r="I14" s="12">
        <v>0.7036</v>
      </c>
      <c r="J14" s="12">
        <v>0.69650000000000001</v>
      </c>
      <c r="K14" s="13"/>
      <c r="L14" s="2">
        <f>((C14-B14)/B14)*100</f>
        <v>4.5345155161494546</v>
      </c>
      <c r="M14" s="2">
        <f>((C14-D14)/C14)*100</f>
        <v>3.7804434750999509</v>
      </c>
      <c r="N14" s="2">
        <f>((C14-E14)/C14)*100</f>
        <v>7.282200411971397</v>
      </c>
      <c r="O14" s="2">
        <f>((C14-F14)/C14)*100</f>
        <v>9.9963649581970078</v>
      </c>
      <c r="P14" s="2">
        <f>((C14-G14)/C14)*100</f>
        <v>12.141039621955649</v>
      </c>
      <c r="Q14" s="2">
        <f>((C14-H14)/H14)*100</f>
        <v>15.555866704004478</v>
      </c>
      <c r="R14" s="2">
        <f>((C14-I14)/C14)*100</f>
        <v>14.746152914091837</v>
      </c>
      <c r="S14" s="2">
        <f>((C14-J14)/C14)*100</f>
        <v>15.606446140797278</v>
      </c>
    </row>
    <row r="15" spans="1:19" x14ac:dyDescent="0.3">
      <c r="A15" s="10" t="s">
        <v>3</v>
      </c>
      <c r="B15" s="10">
        <v>0.65620000000000001</v>
      </c>
      <c r="C15" s="14">
        <v>0.68959999999999999</v>
      </c>
      <c r="D15" s="12">
        <v>0.66300000000000003</v>
      </c>
      <c r="E15" s="12">
        <v>0.63949999999999996</v>
      </c>
      <c r="F15" s="12">
        <v>0.62</v>
      </c>
      <c r="G15" s="12">
        <v>0.60509999999999997</v>
      </c>
      <c r="H15" s="12">
        <v>0.59499999999999997</v>
      </c>
      <c r="I15" s="12">
        <v>0.58540000000000003</v>
      </c>
      <c r="J15" s="12">
        <v>0.57820000000000005</v>
      </c>
      <c r="K15" s="13"/>
      <c r="L15" s="2">
        <f>((C15-B15)/B15)*100</f>
        <v>5.0899116123133172</v>
      </c>
      <c r="M15" s="2">
        <f>((C15-D15)/C15)*100</f>
        <v>3.8573085846867685</v>
      </c>
      <c r="N15" s="2">
        <f>((C15-E15)/C15)*100</f>
        <v>7.2650812064965251</v>
      </c>
      <c r="O15" s="2">
        <f>((C15-F15)/C15)*100</f>
        <v>10.092807424593966</v>
      </c>
      <c r="P15" s="2">
        <f>((C15-G15)/C15)*100</f>
        <v>12.253480278422277</v>
      </c>
      <c r="Q15" s="2">
        <f>((C15-H15)/H15)*100</f>
        <v>15.89915966386555</v>
      </c>
      <c r="R15" s="2">
        <f>((C15-I15)/C15)*100</f>
        <v>15.110208816705331</v>
      </c>
      <c r="S15" s="2">
        <f>((C15-J15)/C15)*100</f>
        <v>16.154292343387464</v>
      </c>
    </row>
    <row r="16" spans="1:19" x14ac:dyDescent="0.3">
      <c r="A16" s="10" t="s">
        <v>2</v>
      </c>
      <c r="B16" s="10">
        <v>0.67430000000000001</v>
      </c>
      <c r="C16" s="14">
        <v>0.71960000000000002</v>
      </c>
      <c r="D16" s="12">
        <v>0.69269999999999998</v>
      </c>
      <c r="E16" s="12">
        <v>0.66779999999999995</v>
      </c>
      <c r="F16" s="12">
        <v>0.64710000000000001</v>
      </c>
      <c r="G16" s="12">
        <v>0.63070000000000004</v>
      </c>
      <c r="H16" s="12">
        <v>0.62029999999999996</v>
      </c>
      <c r="I16" s="12">
        <v>0.61</v>
      </c>
      <c r="J16" s="12">
        <v>0.60250000000000004</v>
      </c>
      <c r="K16" s="13"/>
      <c r="L16" s="2">
        <f>((C16-B16)/B16)*100</f>
        <v>6.7180780068218899</v>
      </c>
      <c r="M16" s="2">
        <f>((C16-D16)/C16)*100</f>
        <v>3.7381878821567587</v>
      </c>
      <c r="N16" s="2">
        <f>((C16-E16)/C16)*100</f>
        <v>7.198443579766546</v>
      </c>
      <c r="O16" s="2">
        <f>((C16-F16)/C16)*100</f>
        <v>10.075041689827684</v>
      </c>
      <c r="P16" s="2">
        <f>((C16-G16)/C16)*100</f>
        <v>12.354085603112837</v>
      </c>
      <c r="Q16" s="2">
        <f>((C16-H16)/H16)*100</f>
        <v>16.008383040464302</v>
      </c>
      <c r="R16" s="2">
        <f>((C16-I16)/C16)*100</f>
        <v>15.23068371317399</v>
      </c>
      <c r="S16" s="2">
        <f>((C16-J16)/C16)*100</f>
        <v>16.272929405225124</v>
      </c>
    </row>
    <row r="17" spans="1:19" x14ac:dyDescent="0.3">
      <c r="A17" s="10" t="s">
        <v>26</v>
      </c>
      <c r="B17" s="10">
        <v>0.76849999999999996</v>
      </c>
      <c r="C17" s="12">
        <v>0.78890000000000005</v>
      </c>
      <c r="D17" s="12">
        <v>0.77410000000000001</v>
      </c>
      <c r="E17" s="12">
        <v>0.75119999999999998</v>
      </c>
      <c r="F17" s="12">
        <v>0.71560000000000001</v>
      </c>
      <c r="G17" s="12">
        <v>0.68520000000000003</v>
      </c>
      <c r="H17" s="12">
        <v>0.66579999999999995</v>
      </c>
      <c r="I17" s="12">
        <v>0.65110000000000001</v>
      </c>
      <c r="J17" s="12">
        <v>0.64839999999999998</v>
      </c>
      <c r="L17" s="2">
        <f>((C17-B17)/B17)*100</f>
        <v>2.6545217957059317</v>
      </c>
      <c r="M17" s="2">
        <f>((C17-D17)/C17)*100</f>
        <v>1.8760299150716233</v>
      </c>
      <c r="N17" s="2">
        <f>((C17-E17)/C17)*100</f>
        <v>4.7788059323108207</v>
      </c>
      <c r="O17" s="2">
        <f>((C17-F17)/C17)*100</f>
        <v>9.2914184307263312</v>
      </c>
      <c r="P17" s="2">
        <f>((C17-G17)/C17)*100</f>
        <v>13.144885283305872</v>
      </c>
      <c r="Q17" s="2">
        <f>((C17-H17)/H17)*100</f>
        <v>18.489035746470428</v>
      </c>
      <c r="R17" s="2">
        <f>((C17-I17)/C17)*100</f>
        <v>17.467359614653319</v>
      </c>
      <c r="S17" s="2">
        <f>((C17-J17)/C17)*100</f>
        <v>17.809608315375847</v>
      </c>
    </row>
    <row r="18" spans="1:19" x14ac:dyDescent="0.3">
      <c r="K18" s="3" t="s">
        <v>0</v>
      </c>
      <c r="L18" s="2">
        <f>AVERAGE(L5:L17)</f>
        <v>5.7117262522708225</v>
      </c>
      <c r="M18" s="2">
        <f>AVERAGE(M5:M17)</f>
        <v>3.7260319129995811</v>
      </c>
      <c r="N18" s="2">
        <f>AVERAGE(N5:N17)</f>
        <v>7.2454198882718197</v>
      </c>
      <c r="O18" s="2">
        <f>AVERAGE(O5:O17)</f>
        <v>10.21999106316991</v>
      </c>
      <c r="P18" s="2">
        <f>AVERAGE(P5:P17)</f>
        <v>12.539034130886167</v>
      </c>
      <c r="Q18" s="2">
        <f>AVERAGE(Q5:Q17)</f>
        <v>16.34338413983226</v>
      </c>
      <c r="R18" s="2">
        <f>AVERAGE(R5:R17)</f>
        <v>15.494656078317186</v>
      </c>
      <c r="S18" s="2">
        <f>AVERAGE(S5:S17)</f>
        <v>16.429171669017556</v>
      </c>
    </row>
    <row r="19" spans="1:19" x14ac:dyDescent="0.3">
      <c r="M19" s="11"/>
      <c r="N19" s="11"/>
      <c r="O19" s="11"/>
      <c r="P19" s="11"/>
      <c r="Q19" s="11"/>
      <c r="R19" s="11"/>
      <c r="S19" s="11"/>
    </row>
    <row r="20" spans="1:19" x14ac:dyDescent="0.3">
      <c r="M20" s="11"/>
      <c r="N20" s="11"/>
      <c r="O20" s="11"/>
      <c r="P20" s="11"/>
      <c r="Q20" s="11"/>
      <c r="R20" s="11"/>
      <c r="S20" s="11"/>
    </row>
    <row r="21" spans="1:19" x14ac:dyDescent="0.3">
      <c r="A21" s="3" t="s">
        <v>28</v>
      </c>
      <c r="L21" s="3" t="s">
        <v>28</v>
      </c>
    </row>
    <row r="23" spans="1:19" x14ac:dyDescent="0.3">
      <c r="A23" s="8" t="s">
        <v>27</v>
      </c>
      <c r="B23" s="8" t="s">
        <v>23</v>
      </c>
      <c r="C23" s="8" t="s">
        <v>22</v>
      </c>
      <c r="D23" s="8" t="s">
        <v>20</v>
      </c>
      <c r="E23" s="8" t="s">
        <v>19</v>
      </c>
      <c r="F23" s="8" t="s">
        <v>18</v>
      </c>
      <c r="G23" s="8" t="s">
        <v>17</v>
      </c>
      <c r="H23" s="8" t="s">
        <v>16</v>
      </c>
      <c r="I23" s="8" t="s">
        <v>15</v>
      </c>
      <c r="J23" s="8" t="s">
        <v>14</v>
      </c>
      <c r="K23" s="9"/>
      <c r="L23" s="8" t="s">
        <v>21</v>
      </c>
      <c r="M23" s="8" t="s">
        <v>20</v>
      </c>
      <c r="N23" s="8" t="s">
        <v>19</v>
      </c>
      <c r="O23" s="8" t="s">
        <v>18</v>
      </c>
      <c r="P23" s="8" t="s">
        <v>17</v>
      </c>
      <c r="Q23" s="8" t="s">
        <v>16</v>
      </c>
      <c r="R23" s="8" t="s">
        <v>15</v>
      </c>
      <c r="S23" s="8" t="s">
        <v>14</v>
      </c>
    </row>
    <row r="24" spans="1:19" x14ac:dyDescent="0.3">
      <c r="A24" s="4" t="s">
        <v>13</v>
      </c>
      <c r="B24" s="4">
        <v>0.78129999999999999</v>
      </c>
      <c r="C24" s="5">
        <v>0.80689999999999995</v>
      </c>
      <c r="D24" s="4">
        <v>0.80010000000000003</v>
      </c>
      <c r="E24" s="4">
        <v>0.7954</v>
      </c>
      <c r="F24" s="4">
        <v>0.78239999999999998</v>
      </c>
      <c r="G24" s="4">
        <v>0.79249999999999998</v>
      </c>
      <c r="H24" s="4">
        <v>0.79249999999999998</v>
      </c>
      <c r="I24" s="4">
        <v>0.79269999999999996</v>
      </c>
      <c r="J24" s="4">
        <v>0.79269999999999996</v>
      </c>
      <c r="K24" s="7"/>
      <c r="L24" s="4">
        <f>((C24-B24)/C24)*100</f>
        <v>3.172636014376002</v>
      </c>
      <c r="M24" s="4">
        <f>((C24-D24)/C24)*100</f>
        <v>0.84273144131861655</v>
      </c>
      <c r="N24" s="2">
        <f>((C24-E24)/C24)*100</f>
        <v>1.4252075845829664</v>
      </c>
      <c r="O24" s="2">
        <f>((C24-F24)/C24)*100</f>
        <v>3.036311810633284</v>
      </c>
      <c r="P24" s="2">
        <f>((C24-G24)/C24)*100</f>
        <v>1.7846077580865001</v>
      </c>
      <c r="Q24" s="2">
        <f>((C24-H24)/C24)*100</f>
        <v>1.7846077580865001</v>
      </c>
      <c r="R24" s="2">
        <f>((C24-I24)/C24)*100</f>
        <v>1.7598215392241903</v>
      </c>
      <c r="S24" s="2">
        <f>((C24-J24)/C24)*100</f>
        <v>1.7598215392241903</v>
      </c>
    </row>
    <row r="25" spans="1:19" x14ac:dyDescent="0.3">
      <c r="A25" s="4" t="s">
        <v>12</v>
      </c>
      <c r="B25" s="4">
        <v>0.72150000000000003</v>
      </c>
      <c r="C25" s="5">
        <v>0.74560000000000004</v>
      </c>
      <c r="D25" s="4">
        <v>0.74260000000000004</v>
      </c>
      <c r="E25" s="4">
        <v>0.74260000000000004</v>
      </c>
      <c r="F25" s="4">
        <v>0.73519999999999996</v>
      </c>
      <c r="G25" s="4">
        <v>0.73150000000000004</v>
      </c>
      <c r="H25" s="4">
        <v>0.72919999999999996</v>
      </c>
      <c r="I25" s="4">
        <v>0.72109999999999996</v>
      </c>
      <c r="J25" s="4">
        <v>0.71179999999999999</v>
      </c>
      <c r="K25" s="7"/>
      <c r="L25" s="4">
        <f>((C25-B25)/C25)*100</f>
        <v>3.2322961373390573</v>
      </c>
      <c r="M25" s="4">
        <f>((C25-D25)/C25)*100</f>
        <v>0.40236051502145953</v>
      </c>
      <c r="N25" s="2">
        <f>((C25-E25)/C25)*100</f>
        <v>0.40236051502145953</v>
      </c>
      <c r="O25" s="2">
        <f>((C25-F25)/C25)*100</f>
        <v>1.3948497854077355</v>
      </c>
      <c r="P25" s="2">
        <f>((C25-G25)/C25)*100</f>
        <v>1.8910944206008584</v>
      </c>
      <c r="Q25" s="2">
        <f>((C25-H25)/C25)*100</f>
        <v>2.1995708154506546</v>
      </c>
      <c r="R25" s="2">
        <f>((C25-I25)/C25)*100</f>
        <v>3.2859442060085939</v>
      </c>
      <c r="S25" s="2">
        <f>((C25-J25)/C25)*100</f>
        <v>4.5332618025751144</v>
      </c>
    </row>
    <row r="26" spans="1:19" x14ac:dyDescent="0.3">
      <c r="A26" s="4" t="s">
        <v>11</v>
      </c>
      <c r="B26" s="4">
        <v>0.63890000000000002</v>
      </c>
      <c r="C26" s="5">
        <v>0.65890000000000004</v>
      </c>
      <c r="D26" s="4">
        <v>0.64580000000000004</v>
      </c>
      <c r="E26" s="4">
        <v>0.64270000000000005</v>
      </c>
      <c r="F26" s="4">
        <v>0.64139999999999997</v>
      </c>
      <c r="G26" s="4">
        <v>0.64039999999999997</v>
      </c>
      <c r="H26" s="4">
        <v>0.64039999999999997</v>
      </c>
      <c r="I26" s="4">
        <v>0.63139999999999996</v>
      </c>
      <c r="J26" s="4">
        <v>0.62890000000000001</v>
      </c>
      <c r="K26" s="7"/>
      <c r="L26" s="4">
        <f>((C26-B26)/C26)*100</f>
        <v>3.0353619669145573</v>
      </c>
      <c r="M26" s="4">
        <f>((C26-D26)/C26)*100</f>
        <v>1.9881620883290332</v>
      </c>
      <c r="N26" s="2">
        <f>((C26-E26)/C26)*100</f>
        <v>2.4586431932007882</v>
      </c>
      <c r="O26" s="2">
        <f>((C26-F26)/C26)*100</f>
        <v>2.6559417210502456</v>
      </c>
      <c r="P26" s="2">
        <f>((C26-G26)/C26)*100</f>
        <v>2.8077098193959737</v>
      </c>
      <c r="Q26" s="2">
        <f>((C26-H26)/C26)*100</f>
        <v>2.8077098193959737</v>
      </c>
      <c r="R26" s="2">
        <f>((C26-I26)/C26)*100</f>
        <v>4.1736227045075243</v>
      </c>
      <c r="S26" s="2">
        <f>((C26-J26)/C26)*100</f>
        <v>4.5530429503718359</v>
      </c>
    </row>
    <row r="27" spans="1:19" x14ac:dyDescent="0.3">
      <c r="A27" s="4" t="s">
        <v>10</v>
      </c>
      <c r="B27" s="4">
        <v>0.74939999999999996</v>
      </c>
      <c r="C27" s="5">
        <v>0.77800000000000002</v>
      </c>
      <c r="D27" s="4">
        <v>0.75319999999999998</v>
      </c>
      <c r="E27" s="4">
        <v>0.74319999999999997</v>
      </c>
      <c r="F27" s="4">
        <v>0.7389</v>
      </c>
      <c r="G27" s="4">
        <v>0.73140000000000005</v>
      </c>
      <c r="H27" s="4">
        <v>0.72450000000000003</v>
      </c>
      <c r="I27" s="4">
        <v>0.72140000000000004</v>
      </c>
      <c r="J27" s="4">
        <v>0.71179999999999999</v>
      </c>
      <c r="K27" s="7"/>
      <c r="L27" s="4">
        <f>((C27-B27)/C27)*100</f>
        <v>3.6760925449871555</v>
      </c>
      <c r="M27" s="4">
        <f>((C27-D27)/C27)*100</f>
        <v>3.187660668380468</v>
      </c>
      <c r="N27" s="2">
        <f>((C27-E27)/C27)*100</f>
        <v>4.4730077120822695</v>
      </c>
      <c r="O27" s="2">
        <f>((C27-F27)/C27)*100</f>
        <v>5.0257069408740387</v>
      </c>
      <c r="P27" s="2">
        <f>((C27-G27)/C27)*100</f>
        <v>5.9897172236503824</v>
      </c>
      <c r="Q27" s="2">
        <f>((C27-H27)/C27)*100</f>
        <v>6.876606683804626</v>
      </c>
      <c r="R27" s="2">
        <f>((C27-I27)/C27)*100</f>
        <v>7.2750642673521826</v>
      </c>
      <c r="S27" s="2">
        <f>((C27-J27)/C27)*100</f>
        <v>8.5089974293059178</v>
      </c>
    </row>
    <row r="28" spans="1:19" x14ac:dyDescent="0.3">
      <c r="A28" s="4" t="s">
        <v>9</v>
      </c>
      <c r="B28" s="4">
        <v>0.67</v>
      </c>
      <c r="C28" s="5">
        <v>0.69869999999999999</v>
      </c>
      <c r="D28" s="4">
        <v>0.69840000000000002</v>
      </c>
      <c r="E28" s="4">
        <v>0.68869999999999998</v>
      </c>
      <c r="F28" s="4">
        <v>0.68120000000000003</v>
      </c>
      <c r="G28" s="4">
        <v>0.67889999999999995</v>
      </c>
      <c r="H28" s="4">
        <v>0.67410000000000003</v>
      </c>
      <c r="I28" s="4">
        <v>0.67110000000000003</v>
      </c>
      <c r="J28" s="4">
        <v>0.66890000000000005</v>
      </c>
      <c r="K28" s="7"/>
      <c r="L28" s="4">
        <f>((C28-B28)/C28)*100</f>
        <v>4.1076284528409825</v>
      </c>
      <c r="M28" s="4">
        <f>((C28-D28)/C28)*100</f>
        <v>4.2936882782305272E-2</v>
      </c>
      <c r="N28" s="2">
        <f>((C28-E28)/C28)*100</f>
        <v>1.4312294260770015</v>
      </c>
      <c r="O28" s="2">
        <f>((C28-F28)/C28)*100</f>
        <v>2.5046514956347443</v>
      </c>
      <c r="P28" s="2">
        <f>((C28-G28)/C28)*100</f>
        <v>2.833834263632466</v>
      </c>
      <c r="Q28" s="2">
        <f>((C28-H28)/C28)*100</f>
        <v>3.5208243881494141</v>
      </c>
      <c r="R28" s="2">
        <f>((C28-I28)/C28)*100</f>
        <v>3.9501932159725146</v>
      </c>
      <c r="S28" s="2">
        <f>((C28-J28)/C28)*100</f>
        <v>4.2650636897094518</v>
      </c>
    </row>
    <row r="29" spans="1:19" x14ac:dyDescent="0.3">
      <c r="A29" s="4" t="s">
        <v>8</v>
      </c>
      <c r="B29" s="4">
        <v>0.72089999999999999</v>
      </c>
      <c r="C29" s="5">
        <v>0.75819999999999999</v>
      </c>
      <c r="D29" s="4">
        <v>0.74890000000000001</v>
      </c>
      <c r="E29" s="4">
        <v>0.74019999999999997</v>
      </c>
      <c r="F29" s="4">
        <v>0.73109999999999997</v>
      </c>
      <c r="G29" s="4">
        <v>0.73089999999999999</v>
      </c>
      <c r="H29" s="4">
        <v>0.72889999999999999</v>
      </c>
      <c r="I29" s="4">
        <v>0.7258</v>
      </c>
      <c r="J29" s="4">
        <v>0.72109999999999996</v>
      </c>
      <c r="K29" s="7"/>
      <c r="L29" s="4">
        <f>((C29-B29)/C29)*100</f>
        <v>4.9195462938538643</v>
      </c>
      <c r="M29" s="4">
        <f>((C29-D29)/C29)*100</f>
        <v>1.2265892904246867</v>
      </c>
      <c r="N29" s="2">
        <f>((C29-E29)/C29)*100</f>
        <v>2.3740437879187568</v>
      </c>
      <c r="O29" s="2">
        <f>((C29-F29)/C29)*100</f>
        <v>3.5742548140332384</v>
      </c>
      <c r="P29" s="2">
        <f>((C29-G29)/C29)*100</f>
        <v>3.6006330783434439</v>
      </c>
      <c r="Q29" s="2">
        <f>((C29-H29)/C29)*100</f>
        <v>3.8644157214455279</v>
      </c>
      <c r="R29" s="2">
        <f>((C29-I29)/C29)*100</f>
        <v>4.2732788182537567</v>
      </c>
      <c r="S29" s="2">
        <f>((C29-J29)/C29)*100</f>
        <v>4.8931680295436593</v>
      </c>
    </row>
    <row r="30" spans="1:19" x14ac:dyDescent="0.3">
      <c r="A30" s="4" t="s">
        <v>7</v>
      </c>
      <c r="B30" s="4">
        <v>0.70140000000000002</v>
      </c>
      <c r="C30" s="4">
        <v>0.72140000000000004</v>
      </c>
      <c r="D30" s="5">
        <v>0.72450000000000003</v>
      </c>
      <c r="E30" s="4">
        <v>0.72360000000000002</v>
      </c>
      <c r="F30" s="4">
        <v>0.72360000000000002</v>
      </c>
      <c r="G30" s="4">
        <v>0.71689999999999998</v>
      </c>
      <c r="H30" s="4">
        <v>0.71689999999999998</v>
      </c>
      <c r="I30" s="4">
        <v>0.70589999999999997</v>
      </c>
      <c r="J30" s="4">
        <v>0.70230000000000004</v>
      </c>
      <c r="K30" s="7"/>
      <c r="L30" s="4">
        <f>((C30-B30)/C30)*100</f>
        <v>2.7723870252287242</v>
      </c>
      <c r="M30" s="4">
        <f>((C30-D30)/C30)*100</f>
        <v>-0.42971998891045071</v>
      </c>
      <c r="N30" s="2">
        <f>((C30-E30)/C30)*100</f>
        <v>-0.30496257277515659</v>
      </c>
      <c r="O30" s="2">
        <f>((C30-F30)/C30)*100</f>
        <v>-0.30496257277515659</v>
      </c>
      <c r="P30" s="2">
        <f>((C30-G30)/C30)*100</f>
        <v>0.62378708067647071</v>
      </c>
      <c r="Q30" s="2">
        <f>((C30-H30)/C30)*100</f>
        <v>0.62378708067647071</v>
      </c>
      <c r="R30" s="2">
        <f>((C30-I30)/C30)*100</f>
        <v>2.1485999445522692</v>
      </c>
      <c r="S30" s="2">
        <f>((C30-J30)/C30)*100</f>
        <v>2.6476296090934301</v>
      </c>
    </row>
    <row r="31" spans="1:19" x14ac:dyDescent="0.3">
      <c r="A31" s="4" t="s">
        <v>6</v>
      </c>
      <c r="B31" s="4">
        <v>0.72109999999999996</v>
      </c>
      <c r="C31" s="4">
        <v>0.7369</v>
      </c>
      <c r="D31" s="5">
        <v>0.74519999999999997</v>
      </c>
      <c r="E31" s="4">
        <v>0.74229999999999996</v>
      </c>
      <c r="F31" s="4">
        <v>0.74229999999999996</v>
      </c>
      <c r="G31" s="4">
        <v>0.73960000000000004</v>
      </c>
      <c r="H31" s="4">
        <v>0.73960000000000004</v>
      </c>
      <c r="I31" s="4">
        <v>0.72450000000000003</v>
      </c>
      <c r="J31" s="4">
        <v>0.72130000000000005</v>
      </c>
      <c r="K31" s="7"/>
      <c r="L31" s="4">
        <f>((C31-B31)/C31)*100</f>
        <v>2.1441172479305246</v>
      </c>
      <c r="M31" s="4">
        <f>((C31-D31)/C31)*100</f>
        <v>-1.1263400732799531</v>
      </c>
      <c r="N31" s="2">
        <f>((C31-E31)/C31)*100</f>
        <v>-0.73279956574840011</v>
      </c>
      <c r="O31" s="2">
        <f>((C31-F31)/C31)*100</f>
        <v>-0.73279956574840011</v>
      </c>
      <c r="P31" s="2">
        <f>((C31-G31)/C31)*100</f>
        <v>-0.3663997828742076</v>
      </c>
      <c r="Q31" s="2">
        <f>((C31-H31)/C31)*100</f>
        <v>-0.3663997828742076</v>
      </c>
      <c r="R31" s="2">
        <f>((C31-I31)/C31)*100</f>
        <v>1.6827249287555932</v>
      </c>
      <c r="S31" s="2">
        <f>((C31-J31)/C31)*100</f>
        <v>2.1169765232731641</v>
      </c>
    </row>
    <row r="32" spans="1:19" x14ac:dyDescent="0.3">
      <c r="A32" s="4" t="s">
        <v>5</v>
      </c>
      <c r="B32" s="4">
        <v>0.80200000000000005</v>
      </c>
      <c r="C32" s="5">
        <v>0.83120000000000005</v>
      </c>
      <c r="D32" s="4">
        <v>0.82979999999999998</v>
      </c>
      <c r="E32" s="4">
        <v>0.82779999999999998</v>
      </c>
      <c r="F32" s="4">
        <v>0.81140000000000001</v>
      </c>
      <c r="G32" s="4">
        <v>0.79920000000000002</v>
      </c>
      <c r="H32" s="4">
        <v>0.78520000000000001</v>
      </c>
      <c r="I32" s="4">
        <v>0.78520000000000001</v>
      </c>
      <c r="J32" s="4">
        <v>0.77959999999999996</v>
      </c>
      <c r="K32" s="7"/>
      <c r="L32" s="4">
        <f>((C32-B32)/C32)*100</f>
        <v>3.512993262752647</v>
      </c>
      <c r="M32" s="4">
        <f>((C32-D32)/C32)*100</f>
        <v>0.16843118383061451</v>
      </c>
      <c r="N32" s="2">
        <f>((C32-E32)/C32)*100</f>
        <v>0.40904716073148095</v>
      </c>
      <c r="O32" s="2">
        <f>((C32-F32)/C32)*100</f>
        <v>2.3820981713185803</v>
      </c>
      <c r="P32" s="2">
        <f>((C32-G32)/C32)*100</f>
        <v>3.8498556304138627</v>
      </c>
      <c r="Q32" s="2">
        <f>((C32-H32)/C32)*100</f>
        <v>5.5341674687199278</v>
      </c>
      <c r="R32" s="2">
        <f>((C32-I32)/C32)*100</f>
        <v>5.5341674687199278</v>
      </c>
      <c r="S32" s="2">
        <f>((C32-J32)/C32)*100</f>
        <v>6.2078922040423592</v>
      </c>
    </row>
    <row r="33" spans="1:19" x14ac:dyDescent="0.3">
      <c r="A33" s="4" t="s">
        <v>4</v>
      </c>
      <c r="B33" s="4">
        <v>0.82110000000000005</v>
      </c>
      <c r="C33" s="4">
        <v>0.83689999999999998</v>
      </c>
      <c r="D33" s="5">
        <v>0.84519999999999995</v>
      </c>
      <c r="E33" s="4">
        <v>0.84230000000000005</v>
      </c>
      <c r="F33" s="4">
        <v>0.84230000000000005</v>
      </c>
      <c r="G33" s="4">
        <v>0.83960000000000001</v>
      </c>
      <c r="H33" s="4">
        <v>0.83960000000000001</v>
      </c>
      <c r="I33" s="4">
        <v>0.82450000000000001</v>
      </c>
      <c r="J33" s="4">
        <v>0.82130000000000003</v>
      </c>
      <c r="K33" s="7"/>
      <c r="L33" s="4">
        <f>((C33-B33)/C33)*100</f>
        <v>1.8879197036682906</v>
      </c>
      <c r="M33" s="4">
        <f>((C33-D33)/C33)*100</f>
        <v>-0.99175528737005314</v>
      </c>
      <c r="N33" s="2">
        <f>((C33-E33)/C33)*100</f>
        <v>-0.64523837973474385</v>
      </c>
      <c r="O33" s="2">
        <f>((C33-F33)/C33)*100</f>
        <v>-0.64523837973474385</v>
      </c>
      <c r="P33" s="2">
        <f>((C33-G33)/C33)*100</f>
        <v>-0.32261918986737192</v>
      </c>
      <c r="Q33" s="2">
        <f>((C33-H33)/C33)*100</f>
        <v>-0.32261918986737192</v>
      </c>
      <c r="R33" s="2">
        <f>((C33-I33)/C33)*100</f>
        <v>1.4816585016130919</v>
      </c>
      <c r="S33" s="2">
        <f>((C33-J33)/C33)*100</f>
        <v>1.8640219859003402</v>
      </c>
    </row>
    <row r="34" spans="1:19" x14ac:dyDescent="0.3">
      <c r="A34" s="4" t="s">
        <v>3</v>
      </c>
      <c r="B34" s="4">
        <v>0.68410000000000004</v>
      </c>
      <c r="C34" s="4">
        <v>0.69979999999999998</v>
      </c>
      <c r="D34" s="5">
        <v>0.7046</v>
      </c>
      <c r="E34" s="4">
        <v>0.69410000000000005</v>
      </c>
      <c r="F34" s="4">
        <v>0.68910000000000005</v>
      </c>
      <c r="G34" s="4">
        <v>0.68910000000000005</v>
      </c>
      <c r="H34" s="4">
        <v>0.67789999999999995</v>
      </c>
      <c r="I34" s="4">
        <v>0.67789999999999995</v>
      </c>
      <c r="J34" s="4">
        <v>0.66710000000000003</v>
      </c>
      <c r="K34" s="7"/>
      <c r="L34" s="4">
        <f>((C34-B34)/C34)*100</f>
        <v>2.24349814232637</v>
      </c>
      <c r="M34" s="4">
        <f>((C34-D34)/C34)*100</f>
        <v>-0.68591026007431077</v>
      </c>
      <c r="N34" s="2">
        <f>((C34-E34)/C34)*100</f>
        <v>0.81451843383822908</v>
      </c>
      <c r="O34" s="2">
        <f>((C34-F34)/C34)*100</f>
        <v>1.5290082880822997</v>
      </c>
      <c r="P34" s="2">
        <f>((C34-G34)/C34)*100</f>
        <v>1.5290082880822997</v>
      </c>
      <c r="Q34" s="2">
        <f>((C34-H34)/C34)*100</f>
        <v>3.1294655615890301</v>
      </c>
      <c r="R34" s="2">
        <f>((C34-I34)/C34)*100</f>
        <v>3.1294655615890301</v>
      </c>
      <c r="S34" s="2">
        <f>((C34-J34)/C34)*100</f>
        <v>4.6727636467562093</v>
      </c>
    </row>
    <row r="35" spans="1:19" x14ac:dyDescent="0.3">
      <c r="A35" s="4" t="s">
        <v>2</v>
      </c>
      <c r="B35" s="4">
        <v>0.70599999999999996</v>
      </c>
      <c r="C35" s="5">
        <v>0.73140000000000005</v>
      </c>
      <c r="D35" s="4">
        <v>0.73009999999999997</v>
      </c>
      <c r="E35" s="4">
        <v>0.72960000000000003</v>
      </c>
      <c r="F35" s="4">
        <v>0.72960000000000003</v>
      </c>
      <c r="G35" s="4">
        <v>0.71319999999999995</v>
      </c>
      <c r="H35" s="4">
        <v>0.70609999999999995</v>
      </c>
      <c r="I35" s="4">
        <v>0.6925</v>
      </c>
      <c r="J35" s="4">
        <v>0.6925</v>
      </c>
      <c r="K35" s="7"/>
      <c r="L35" s="4">
        <f>((C35-B35)/C35)*100</f>
        <v>3.4727919059338377</v>
      </c>
      <c r="M35" s="4">
        <f>((C35-D35)/C35)*100</f>
        <v>0.17774131802024593</v>
      </c>
      <c r="N35" s="2">
        <f>((C35-E35)/C35)*100</f>
        <v>0.24610336341263656</v>
      </c>
      <c r="O35" s="2">
        <f>((C35-F35)/C35)*100</f>
        <v>0.24610336341263656</v>
      </c>
      <c r="P35" s="2">
        <f>((C35-G35)/C35)*100</f>
        <v>2.4883784522833063</v>
      </c>
      <c r="Q35" s="2">
        <f>((C35-H35)/C35)*100</f>
        <v>3.4591194968553598</v>
      </c>
      <c r="R35" s="2">
        <f>((C35-I35)/C35)*100</f>
        <v>5.3185671315285816</v>
      </c>
      <c r="S35" s="2">
        <f>((C35-J35)/C35)*100</f>
        <v>5.3185671315285816</v>
      </c>
    </row>
    <row r="36" spans="1:19" x14ac:dyDescent="0.3">
      <c r="A36" s="10" t="s">
        <v>26</v>
      </c>
      <c r="B36" s="4">
        <v>0.79849999999999999</v>
      </c>
      <c r="C36" s="4">
        <v>0.81200000000000006</v>
      </c>
      <c r="D36" s="5">
        <v>0.81469999999999998</v>
      </c>
      <c r="E36" s="4">
        <v>0.79849999999999999</v>
      </c>
      <c r="F36" s="4">
        <v>0.78559999999999997</v>
      </c>
      <c r="G36" s="4">
        <v>0.77739999999999998</v>
      </c>
      <c r="H36" s="4">
        <v>0.7651</v>
      </c>
      <c r="I36" s="4">
        <v>0.75670000000000004</v>
      </c>
      <c r="J36" s="4">
        <v>0.74470000000000003</v>
      </c>
      <c r="K36" s="7"/>
      <c r="L36" s="4">
        <f>((C36-B36)/C36)*100</f>
        <v>1.6625615763546879</v>
      </c>
      <c r="M36" s="4">
        <f>((C36-D36)/C36)*100</f>
        <v>-0.33251231527092667</v>
      </c>
      <c r="N36" s="2">
        <f>((C36-E36)/C36)*100</f>
        <v>1.6625615763546879</v>
      </c>
      <c r="O36" s="2">
        <f>((C36-F36)/C36)*100</f>
        <v>3.2512315270936072</v>
      </c>
      <c r="P36" s="2">
        <f>((C36-G36)/C36)*100</f>
        <v>4.2610837438423737</v>
      </c>
      <c r="Q36" s="2">
        <f>((C36-H36)/C36)*100</f>
        <v>5.7758620689655231</v>
      </c>
      <c r="R36" s="2">
        <f>((C36-I36)/C36)*100</f>
        <v>6.8103448275862082</v>
      </c>
      <c r="S36" s="2">
        <f>((C36-J36)/C36)*100</f>
        <v>8.2881773399014804</v>
      </c>
    </row>
    <row r="37" spans="1:19" x14ac:dyDescent="0.3">
      <c r="K37" s="3" t="s">
        <v>0</v>
      </c>
      <c r="L37" s="4">
        <f>AVERAGE(L24:L36)</f>
        <v>3.064602328808208</v>
      </c>
      <c r="M37" s="4">
        <f>AVERAGE(M24:M36)</f>
        <v>0.3438750356309026</v>
      </c>
      <c r="N37" s="4">
        <f>AVERAGE(N24:N36)</f>
        <v>1.0779786334586134</v>
      </c>
      <c r="O37" s="4">
        <f>AVERAGE(O24:O36)</f>
        <v>1.8397813384063162</v>
      </c>
      <c r="P37" s="4">
        <f>AVERAGE(P24:P36)</f>
        <v>2.3823608297127969</v>
      </c>
      <c r="Q37" s="4">
        <f>AVERAGE(Q24:Q36)</f>
        <v>2.9913167607998026</v>
      </c>
      <c r="R37" s="4">
        <f>AVERAGE(R24:R36)</f>
        <v>3.9094963935125739</v>
      </c>
      <c r="S37" s="4">
        <f>AVERAGE(S24:S36)</f>
        <v>4.5868756831712103</v>
      </c>
    </row>
    <row r="39" spans="1:19" x14ac:dyDescent="0.3">
      <c r="A39" s="5" t="s">
        <v>25</v>
      </c>
      <c r="B39" s="7"/>
      <c r="L39" s="5" t="s">
        <v>25</v>
      </c>
    </row>
    <row r="41" spans="1:19" x14ac:dyDescent="0.3">
      <c r="A41" s="8" t="s">
        <v>24</v>
      </c>
      <c r="B41" s="8" t="s">
        <v>23</v>
      </c>
      <c r="C41" s="8" t="s">
        <v>22</v>
      </c>
      <c r="D41" s="8" t="s">
        <v>20</v>
      </c>
      <c r="E41" s="8" t="s">
        <v>19</v>
      </c>
      <c r="F41" s="8" t="s">
        <v>18</v>
      </c>
      <c r="G41" s="8" t="s">
        <v>17</v>
      </c>
      <c r="H41" s="8" t="s">
        <v>16</v>
      </c>
      <c r="I41" s="8" t="s">
        <v>15</v>
      </c>
      <c r="J41" s="8" t="s">
        <v>14</v>
      </c>
      <c r="K41" s="9"/>
      <c r="L41" s="8" t="s">
        <v>21</v>
      </c>
      <c r="M41" s="8" t="s">
        <v>20</v>
      </c>
      <c r="N41" s="8" t="s">
        <v>19</v>
      </c>
      <c r="O41" s="8" t="s">
        <v>18</v>
      </c>
      <c r="P41" s="8" t="s">
        <v>17</v>
      </c>
      <c r="Q41" s="8" t="s">
        <v>16</v>
      </c>
      <c r="R41" s="8" t="s">
        <v>15</v>
      </c>
      <c r="S41" s="8" t="s">
        <v>14</v>
      </c>
    </row>
    <row r="42" spans="1:19" x14ac:dyDescent="0.3">
      <c r="A42" s="4" t="s">
        <v>13</v>
      </c>
      <c r="B42" s="6">
        <v>0.77110000000000001</v>
      </c>
      <c r="C42" s="5">
        <v>0.79849999999999999</v>
      </c>
      <c r="D42" s="4">
        <v>0.78249999999999997</v>
      </c>
      <c r="E42" s="4">
        <v>0.76690000000000003</v>
      </c>
      <c r="F42" s="4">
        <v>0.75160000000000005</v>
      </c>
      <c r="G42" s="4">
        <v>0.73660000000000003</v>
      </c>
      <c r="H42" s="4">
        <v>0.72189999999999999</v>
      </c>
      <c r="I42" s="4">
        <v>0.70750000000000002</v>
      </c>
      <c r="J42" s="4">
        <v>0.69330000000000003</v>
      </c>
      <c r="K42" s="7"/>
      <c r="L42" s="2">
        <f>((C42-B42)/B42)*100</f>
        <v>3.5533653222668891</v>
      </c>
      <c r="M42" s="2">
        <f>((C42-D42)/C42)*100</f>
        <v>2.0037570444583612</v>
      </c>
      <c r="N42" s="2">
        <f>((C42-E42)/C42)*100</f>
        <v>3.957420162805255</v>
      </c>
      <c r="O42" s="2">
        <f>((C42-F42)/C42)*100</f>
        <v>5.8735128365685592</v>
      </c>
      <c r="P42" s="2">
        <f>((C42-G42)/C42)*100</f>
        <v>7.7520350657482719</v>
      </c>
      <c r="Q42" s="2">
        <f>((C42-H42)/C42)*100</f>
        <v>9.5929868503443956</v>
      </c>
      <c r="R42" s="2">
        <f>((C42-I42)/C42)*100</f>
        <v>11.396368190356917</v>
      </c>
      <c r="S42" s="2">
        <f>((C42-J42)/C42)*100</f>
        <v>13.174702567313709</v>
      </c>
    </row>
    <row r="43" spans="1:19" x14ac:dyDescent="0.3">
      <c r="A43" s="4" t="s">
        <v>12</v>
      </c>
      <c r="B43" s="6">
        <v>0.71260000000000001</v>
      </c>
      <c r="C43" s="5">
        <v>0.73980000000000001</v>
      </c>
      <c r="D43" s="4">
        <v>0.72499999999999998</v>
      </c>
      <c r="E43" s="4">
        <v>0.71050000000000002</v>
      </c>
      <c r="F43" s="4">
        <v>0.69630000000000003</v>
      </c>
      <c r="G43" s="4">
        <v>0.68230000000000002</v>
      </c>
      <c r="H43" s="4">
        <v>0.66869999999999996</v>
      </c>
      <c r="I43" s="4">
        <v>0.65529999999999999</v>
      </c>
      <c r="J43" s="4">
        <v>0.64219999999999999</v>
      </c>
      <c r="K43" s="7"/>
      <c r="L43" s="2">
        <f>((C43-B43)/B43)*100</f>
        <v>3.8170081392085322</v>
      </c>
      <c r="M43" s="2">
        <f>((C43-D43)/C43)*100</f>
        <v>2.0005406866720783</v>
      </c>
      <c r="N43" s="2">
        <f>((C43-E43)/C43)*100</f>
        <v>3.9605298729386313</v>
      </c>
      <c r="O43" s="2">
        <f>((C43-F43)/C43)*100</f>
        <v>5.8799675587996729</v>
      </c>
      <c r="P43" s="2">
        <f>((C43-G43)/C43)*100</f>
        <v>7.7723709110570418</v>
      </c>
      <c r="Q43" s="2">
        <f>((C43-H43)/C43)*100</f>
        <v>9.6107055961070618</v>
      </c>
      <c r="R43" s="2">
        <f>((C43-I43)/C43)*100</f>
        <v>11.422005947553396</v>
      </c>
      <c r="S43" s="2">
        <f>((C43-J43)/C43)*100</f>
        <v>13.192754798594217</v>
      </c>
    </row>
    <row r="44" spans="1:19" x14ac:dyDescent="0.3">
      <c r="A44" s="4" t="s">
        <v>11</v>
      </c>
      <c r="B44" s="6">
        <v>0.62209999999999999</v>
      </c>
      <c r="C44" s="5">
        <v>0.64139999999999997</v>
      </c>
      <c r="D44" s="4">
        <v>0.62860000000000005</v>
      </c>
      <c r="E44" s="4">
        <v>0.61599999999999999</v>
      </c>
      <c r="F44" s="4">
        <v>0.60370000000000001</v>
      </c>
      <c r="G44" s="4">
        <v>0.5917</v>
      </c>
      <c r="H44" s="4">
        <v>0.57989999999999997</v>
      </c>
      <c r="I44" s="4">
        <v>0.56830000000000003</v>
      </c>
      <c r="J44" s="4">
        <v>0.55700000000000005</v>
      </c>
      <c r="K44" s="7"/>
      <c r="L44" s="2">
        <f>((C44-B44)/B44)*100</f>
        <v>3.1023951133258296</v>
      </c>
      <c r="M44" s="2">
        <f>((C44-D44)/C44)*100</f>
        <v>1.9956345494231249</v>
      </c>
      <c r="N44" s="2">
        <f>((C44-E44)/C44)*100</f>
        <v>3.9600873090115343</v>
      </c>
      <c r="O44" s="2">
        <f>((C44-F44)/C44)*100</f>
        <v>5.8777673838478259</v>
      </c>
      <c r="P44" s="2">
        <f>((C44-G44)/C44)*100</f>
        <v>7.7486747739320183</v>
      </c>
      <c r="Q44" s="2">
        <f>((C44-H44)/C44)*100</f>
        <v>9.5884003741814787</v>
      </c>
      <c r="R44" s="2">
        <f>((C44-I44)/C44)*100</f>
        <v>11.396944184596187</v>
      </c>
      <c r="S44" s="2">
        <f>((C44-J44)/C44)*100</f>
        <v>13.158715310258797</v>
      </c>
    </row>
    <row r="45" spans="1:19" x14ac:dyDescent="0.3">
      <c r="A45" s="4" t="s">
        <v>10</v>
      </c>
      <c r="B45" s="6">
        <v>0.73270000000000002</v>
      </c>
      <c r="C45" s="5">
        <v>0.76</v>
      </c>
      <c r="D45" s="4">
        <v>0.74480000000000002</v>
      </c>
      <c r="E45" s="4">
        <v>0.72989999999999999</v>
      </c>
      <c r="F45" s="4">
        <v>0.71530000000000005</v>
      </c>
      <c r="G45" s="4">
        <v>0.70099999999999996</v>
      </c>
      <c r="H45" s="4">
        <v>0.68700000000000006</v>
      </c>
      <c r="I45" s="4">
        <v>0.67320000000000002</v>
      </c>
      <c r="J45" s="4">
        <v>0.65969999999999995</v>
      </c>
      <c r="K45" s="7"/>
      <c r="L45" s="2">
        <f>((C45-B45)/B45)*100</f>
        <v>3.7259451344342831</v>
      </c>
      <c r="M45" s="2">
        <f>((C45-D45)/C45)*100</f>
        <v>1.9999999999999991</v>
      </c>
      <c r="N45" s="2">
        <f>((C45-E45)/C45)*100</f>
        <v>3.9605263157894752</v>
      </c>
      <c r="O45" s="2">
        <f>((C45-F45)/C45)*100</f>
        <v>5.8815789473684159</v>
      </c>
      <c r="P45" s="2">
        <f>((C45-G45)/C45)*100</f>
        <v>7.7631578947368496</v>
      </c>
      <c r="Q45" s="2">
        <f>((C45-H45)/C45)*100</f>
        <v>9.605263157894731</v>
      </c>
      <c r="R45" s="2">
        <f>((C45-I45)/C45)*100</f>
        <v>11.421052631578945</v>
      </c>
      <c r="S45" s="2">
        <f>((C45-J45)/C45)*100</f>
        <v>13.197368421052639</v>
      </c>
    </row>
    <row r="46" spans="1:19" x14ac:dyDescent="0.3">
      <c r="A46" s="4" t="s">
        <v>9</v>
      </c>
      <c r="B46" s="6">
        <v>0.65410000000000001</v>
      </c>
      <c r="C46" s="5">
        <v>0.68740000000000001</v>
      </c>
      <c r="D46" s="4">
        <v>0.67359999999999998</v>
      </c>
      <c r="E46" s="4">
        <v>0.66010000000000002</v>
      </c>
      <c r="F46" s="4">
        <v>0.64690000000000003</v>
      </c>
      <c r="G46" s="4">
        <v>0.63390000000000002</v>
      </c>
      <c r="H46" s="4">
        <v>0.62119999999999997</v>
      </c>
      <c r="I46" s="4">
        <v>0.60870000000000002</v>
      </c>
      <c r="J46" s="4">
        <v>0.59650000000000003</v>
      </c>
      <c r="K46" s="7"/>
      <c r="L46" s="2">
        <f>((C46-B46)/B46)*100</f>
        <v>5.0909646842990357</v>
      </c>
      <c r="M46" s="2">
        <f>((C46-D46)/C46)*100</f>
        <v>2.0075647366889777</v>
      </c>
      <c r="N46" s="2">
        <f>((C46-E46)/C46)*100</f>
        <v>3.9714867617107927</v>
      </c>
      <c r="O46" s="2">
        <f>((C46-F46)/C46)*100</f>
        <v>5.891766075065461</v>
      </c>
      <c r="P46" s="2">
        <f>((C46-G46)/C46)*100</f>
        <v>7.7829502473086984</v>
      </c>
      <c r="Q46" s="2">
        <f>((C46-H46)/C46)*100</f>
        <v>9.6304917078847883</v>
      </c>
      <c r="R46" s="2">
        <f>((C46-I46)/C46)*100</f>
        <v>11.448938027349431</v>
      </c>
      <c r="S46" s="2">
        <f>((C46-J46)/C46)*100</f>
        <v>13.223741635146927</v>
      </c>
    </row>
    <row r="47" spans="1:19" x14ac:dyDescent="0.3">
      <c r="A47" s="4" t="s">
        <v>8</v>
      </c>
      <c r="B47" s="6">
        <v>0.71389999999999998</v>
      </c>
      <c r="C47" s="5">
        <v>0.74</v>
      </c>
      <c r="D47" s="4">
        <v>0.72519999999999996</v>
      </c>
      <c r="E47" s="4">
        <v>0.7107</v>
      </c>
      <c r="F47" s="4">
        <v>0.69650000000000001</v>
      </c>
      <c r="G47" s="4">
        <v>0.68259999999999998</v>
      </c>
      <c r="H47" s="4">
        <v>0.66890000000000005</v>
      </c>
      <c r="I47" s="4">
        <v>0.65549999999999997</v>
      </c>
      <c r="J47" s="4">
        <v>0.64239999999999997</v>
      </c>
      <c r="K47" s="7"/>
      <c r="L47" s="2">
        <f>((C47-B47)/B47)*100</f>
        <v>3.6559742260820864</v>
      </c>
      <c r="M47" s="2">
        <f>((C47-D47)/C47)*100</f>
        <v>2.0000000000000049</v>
      </c>
      <c r="N47" s="2">
        <f>((C47-E47)/C47)*100</f>
        <v>3.9594594594594588</v>
      </c>
      <c r="O47" s="2">
        <f>((C47-F47)/C47)*100</f>
        <v>5.8783783783783763</v>
      </c>
      <c r="P47" s="2">
        <f>((C47-G47)/C47)*100</f>
        <v>7.7567567567567579</v>
      </c>
      <c r="Q47" s="2">
        <f>((C47-H47)/C47)*100</f>
        <v>9.6081081081080999</v>
      </c>
      <c r="R47" s="2">
        <f>((C47-I47)/C47)*100</f>
        <v>11.418918918918921</v>
      </c>
      <c r="S47" s="2">
        <f>((C47-J47)/C47)*100</f>
        <v>13.189189189189193</v>
      </c>
    </row>
    <row r="48" spans="1:19" x14ac:dyDescent="0.3">
      <c r="A48" s="4" t="s">
        <v>7</v>
      </c>
      <c r="B48" s="6">
        <v>0.68469999999999998</v>
      </c>
      <c r="C48" s="5">
        <v>0.71450000000000002</v>
      </c>
      <c r="D48" s="4">
        <v>0.70020000000000004</v>
      </c>
      <c r="E48" s="4">
        <v>0.68620000000000003</v>
      </c>
      <c r="F48" s="4">
        <v>0.67249999999999999</v>
      </c>
      <c r="G48" s="4">
        <v>0.65900000000000003</v>
      </c>
      <c r="H48" s="4">
        <v>0.64580000000000004</v>
      </c>
      <c r="I48" s="4">
        <v>0.63290000000000002</v>
      </c>
      <c r="J48" s="4">
        <v>0.62019999999999997</v>
      </c>
      <c r="K48" s="7"/>
      <c r="L48" s="2">
        <f>((C48-B48)/B48)*100</f>
        <v>4.3522710676208627</v>
      </c>
      <c r="M48" s="2">
        <f>((C48-D48)/C48)*100</f>
        <v>2.0013995801259594</v>
      </c>
      <c r="N48" s="2">
        <f>((C48-E48)/C48)*100</f>
        <v>3.9608117564730567</v>
      </c>
      <c r="O48" s="2">
        <f>((C48-F48)/C48)*100</f>
        <v>5.8782365290412928</v>
      </c>
      <c r="P48" s="2">
        <f>((C48-G48)/C48)*100</f>
        <v>7.7676696990902725</v>
      </c>
      <c r="Q48" s="2">
        <f>((C48-H48)/C48)*100</f>
        <v>9.6151154653603896</v>
      </c>
      <c r="R48" s="2">
        <f>((C48-I48)/C48)*100</f>
        <v>11.420573827851644</v>
      </c>
      <c r="S48" s="2">
        <f>((C48-J48)/C48)*100</f>
        <v>13.198040587823659</v>
      </c>
    </row>
    <row r="49" spans="1:19" x14ac:dyDescent="0.3">
      <c r="A49" s="4" t="s">
        <v>6</v>
      </c>
      <c r="B49" s="6">
        <v>0.68979999999999997</v>
      </c>
      <c r="C49" s="5">
        <v>0.72889999999999999</v>
      </c>
      <c r="D49" s="4">
        <v>0.71430000000000005</v>
      </c>
      <c r="E49" s="4">
        <v>0.7</v>
      </c>
      <c r="F49" s="4">
        <v>0.68600000000000005</v>
      </c>
      <c r="G49" s="4">
        <v>0.67230000000000001</v>
      </c>
      <c r="H49" s="4">
        <v>0.65880000000000005</v>
      </c>
      <c r="I49" s="4">
        <v>0.64559999999999995</v>
      </c>
      <c r="J49" s="4">
        <v>0.63270000000000004</v>
      </c>
      <c r="K49" s="7"/>
      <c r="L49" s="2">
        <f>((C49-B49)/B49)*100</f>
        <v>5.6683096549724592</v>
      </c>
      <c r="M49" s="2">
        <f>((C49-D49)/C49)*100</f>
        <v>2.0030182466730615</v>
      </c>
      <c r="N49" s="2">
        <f>((C49-E49)/C49)*100</f>
        <v>3.9648785841679293</v>
      </c>
      <c r="O49" s="2">
        <f>((C49-F49)/C49)*100</f>
        <v>5.8855810124845576</v>
      </c>
      <c r="P49" s="2">
        <f>((C49-G49)/C49)*100</f>
        <v>7.7651255316229921</v>
      </c>
      <c r="Q49" s="2">
        <f>((C49-H49)/C49)*100</f>
        <v>9.6172314446426039</v>
      </c>
      <c r="R49" s="2">
        <f>((C49-I49)/C49)*100</f>
        <v>11.428179448484023</v>
      </c>
      <c r="S49" s="2">
        <f>((C49-J49)/C49)*100</f>
        <v>13.197969543147201</v>
      </c>
    </row>
    <row r="50" spans="1:19" x14ac:dyDescent="0.3">
      <c r="A50" s="4" t="s">
        <v>5</v>
      </c>
      <c r="B50" s="6">
        <v>0.78520000000000001</v>
      </c>
      <c r="C50" s="5">
        <v>0.82940000000000003</v>
      </c>
      <c r="D50" s="4">
        <v>0.81279999999999997</v>
      </c>
      <c r="E50" s="4">
        <v>0.79649999999999999</v>
      </c>
      <c r="F50" s="4">
        <v>0.78059999999999996</v>
      </c>
      <c r="G50" s="4">
        <v>0.76500000000000001</v>
      </c>
      <c r="H50" s="4">
        <v>0.74970000000000003</v>
      </c>
      <c r="I50" s="4">
        <v>0.73470000000000002</v>
      </c>
      <c r="J50" s="4">
        <v>0.72</v>
      </c>
      <c r="K50" s="7"/>
      <c r="L50" s="2">
        <f>((C50-B50)/B50)*100</f>
        <v>5.6291390728476847</v>
      </c>
      <c r="M50" s="2">
        <f>((C50-D50)/C50)*100</f>
        <v>2.0014468290330432</v>
      </c>
      <c r="N50" s="2">
        <f>((C50-E50)/C50)*100</f>
        <v>3.9667229322401782</v>
      </c>
      <c r="O50" s="2">
        <f>((C50-F50)/C50)*100</f>
        <v>5.8837714010127877</v>
      </c>
      <c r="P50" s="2">
        <f>((C50-G50)/C50)*100</f>
        <v>7.76464914395949</v>
      </c>
      <c r="Q50" s="2">
        <f>((C50-H50)/C50)*100</f>
        <v>9.6093561610802993</v>
      </c>
      <c r="R50" s="2">
        <f>((C50-I50)/C50)*100</f>
        <v>11.417892452375211</v>
      </c>
      <c r="S50" s="2">
        <f>((C50-J50)/C50)*100</f>
        <v>13.190258017844231</v>
      </c>
    </row>
    <row r="51" spans="1:19" x14ac:dyDescent="0.3">
      <c r="A51" s="4" t="s">
        <v>4</v>
      </c>
      <c r="B51" s="6">
        <v>0.79459999999999997</v>
      </c>
      <c r="C51" s="5">
        <v>0.82889999999999997</v>
      </c>
      <c r="D51" s="4">
        <v>0.81230000000000002</v>
      </c>
      <c r="E51" s="4">
        <v>0.79610000000000003</v>
      </c>
      <c r="F51" s="4">
        <v>0.7802</v>
      </c>
      <c r="G51" s="4">
        <v>0.76459999999999995</v>
      </c>
      <c r="H51" s="4">
        <v>0.74929999999999997</v>
      </c>
      <c r="I51" s="4">
        <v>0.73429999999999995</v>
      </c>
      <c r="J51" s="4">
        <v>0.71960000000000002</v>
      </c>
      <c r="K51" s="7"/>
      <c r="L51" s="2">
        <f>((C51-B51)/B51)*100</f>
        <v>4.3166373017870621</v>
      </c>
      <c r="M51" s="2">
        <f>((C51-D51)/C51)*100</f>
        <v>2.0026541199179575</v>
      </c>
      <c r="N51" s="2">
        <f>((C51-E51)/C51)*100</f>
        <v>3.9570515140547644</v>
      </c>
      <c r="O51" s="2">
        <f>((C51-F51)/C51)*100</f>
        <v>5.8752563638557085</v>
      </c>
      <c r="P51" s="2">
        <f>((C51-G51)/C51)*100</f>
        <v>7.7572686693207897</v>
      </c>
      <c r="Q51" s="2">
        <f>((C51-H51)/C51)*100</f>
        <v>9.6030884304499953</v>
      </c>
      <c r="R51" s="2">
        <f>((C51-I51)/C51)*100</f>
        <v>11.412715647243337</v>
      </c>
      <c r="S51" s="2">
        <f>((C51-J51)/C51)*100</f>
        <v>13.186150319700804</v>
      </c>
    </row>
    <row r="52" spans="1:19" x14ac:dyDescent="0.3">
      <c r="A52" s="4" t="s">
        <v>3</v>
      </c>
      <c r="B52" s="6">
        <v>0.66359999999999997</v>
      </c>
      <c r="C52" s="5">
        <v>0.69120000000000004</v>
      </c>
      <c r="D52" s="4">
        <v>0.6774</v>
      </c>
      <c r="E52" s="4">
        <v>0.66400000000000003</v>
      </c>
      <c r="F52" s="4">
        <v>0.65069999999999995</v>
      </c>
      <c r="G52" s="4">
        <v>0.63770000000000004</v>
      </c>
      <c r="H52" s="4">
        <v>0.62490000000000001</v>
      </c>
      <c r="I52" s="4">
        <v>0.61240000000000006</v>
      </c>
      <c r="J52" s="4">
        <v>0.60019999999999996</v>
      </c>
      <c r="K52" s="7"/>
      <c r="L52" s="2">
        <f>((C52-B52)/B52)*100</f>
        <v>4.1591320072332838</v>
      </c>
      <c r="M52" s="2">
        <f>((C52-D52)/C52)*100</f>
        <v>1.9965277777777828</v>
      </c>
      <c r="N52" s="2">
        <f>((C52-E52)/C52)*100</f>
        <v>3.9351851851851851</v>
      </c>
      <c r="O52" s="2">
        <f>((C52-F52)/C52)*100</f>
        <v>5.8593750000000133</v>
      </c>
      <c r="P52" s="2">
        <f>((C52-G52)/C52)*100</f>
        <v>7.7401620370370345</v>
      </c>
      <c r="Q52" s="2">
        <f>((C52-H52)/C52)*100</f>
        <v>9.5920138888888928</v>
      </c>
      <c r="R52" s="2">
        <f>((C52-I52)/C52)*100</f>
        <v>11.40046296296296</v>
      </c>
      <c r="S52" s="2">
        <f>((C52-J52)/C52)*100</f>
        <v>13.16550925925927</v>
      </c>
    </row>
    <row r="53" spans="1:19" x14ac:dyDescent="0.3">
      <c r="A53" s="4" t="s">
        <v>2</v>
      </c>
      <c r="B53" s="6">
        <v>0.67469999999999997</v>
      </c>
      <c r="C53" s="5">
        <v>0.72360000000000002</v>
      </c>
      <c r="D53" s="4">
        <v>0.70909999999999995</v>
      </c>
      <c r="E53" s="4">
        <v>0.69489999999999996</v>
      </c>
      <c r="F53" s="4">
        <v>0.68100000000000005</v>
      </c>
      <c r="G53" s="4">
        <v>0.66739999999999999</v>
      </c>
      <c r="H53" s="4">
        <v>0.65410000000000001</v>
      </c>
      <c r="I53" s="4">
        <v>0.64100000000000001</v>
      </c>
      <c r="J53" s="2">
        <v>0.62819999999999998</v>
      </c>
      <c r="L53" s="2">
        <f>((C53-B53)/B53)*100</f>
        <v>7.2476656291685275</v>
      </c>
      <c r="M53" s="2">
        <f>((C53-D53)/C53)*100</f>
        <v>2.0038695411829832</v>
      </c>
      <c r="N53" s="2">
        <f>((C53-E53)/C53)*100</f>
        <v>3.9662797125483777</v>
      </c>
      <c r="O53" s="2">
        <f>((C53-F53)/C53)*100</f>
        <v>5.8872305140961823</v>
      </c>
      <c r="P53" s="2">
        <f>((C53-G53)/C53)*100</f>
        <v>7.7667219458264274</v>
      </c>
      <c r="Q53" s="2">
        <f>((C53-H53)/C53)*100</f>
        <v>9.6047540077390838</v>
      </c>
      <c r="R53" s="2">
        <f>((C53-I53)/C53)*100</f>
        <v>11.415146489773356</v>
      </c>
      <c r="S53" s="2">
        <f>((C53-J53)/C53)*100</f>
        <v>13.184079601990053</v>
      </c>
    </row>
    <row r="54" spans="1:19" ht="19.2" customHeight="1" x14ac:dyDescent="0.3">
      <c r="A54" s="4" t="s">
        <v>1</v>
      </c>
      <c r="B54" s="6">
        <v>0.7843</v>
      </c>
      <c r="C54" s="5">
        <v>0.80889999999999995</v>
      </c>
      <c r="D54" s="4">
        <v>0.79210000000000003</v>
      </c>
      <c r="E54" s="4">
        <v>0.7843</v>
      </c>
      <c r="F54" s="4">
        <v>0.7641</v>
      </c>
      <c r="G54" s="4">
        <v>0.75460000000000005</v>
      </c>
      <c r="H54" s="4">
        <v>0.73619999999999997</v>
      </c>
      <c r="I54" s="4">
        <v>0.71540000000000004</v>
      </c>
      <c r="J54" s="2">
        <v>0.68789999999999996</v>
      </c>
      <c r="L54" s="2">
        <f>((C54-B54)/B54)*100</f>
        <v>3.1365548897105642</v>
      </c>
      <c r="M54" s="2">
        <f>((C54-D54)/C54)*100</f>
        <v>2.076894548151802</v>
      </c>
      <c r="N54" s="2">
        <f>((C54-E54)/C54)*100</f>
        <v>3.0411670169365754</v>
      </c>
      <c r="O54" s="2">
        <f>((C54-F54)/C54)*100</f>
        <v>5.5383854617381569</v>
      </c>
      <c r="P54" s="2">
        <f>((C54-G54)/C54)*100</f>
        <v>6.7128198788478057</v>
      </c>
      <c r="Q54" s="2">
        <f>((C54-H54)/C54)*100</f>
        <v>8.9875139077759911</v>
      </c>
      <c r="R54" s="2">
        <f>((C54-I54)/C54)*100</f>
        <v>11.558907157868701</v>
      </c>
      <c r="S54" s="2">
        <f>((C54-J54)/C54)*100</f>
        <v>14.958585733712448</v>
      </c>
    </row>
    <row r="55" spans="1:19" x14ac:dyDescent="0.3">
      <c r="K55" s="3" t="s">
        <v>0</v>
      </c>
      <c r="L55" s="2">
        <f>AVERAGE(L42:L54)</f>
        <v>4.4196432494582387</v>
      </c>
      <c r="M55" s="2">
        <f>AVERAGE(M42:M54)</f>
        <v>2.0071775123157796</v>
      </c>
      <c r="N55" s="2">
        <f>AVERAGE(N42:N54)</f>
        <v>3.8893543525631702</v>
      </c>
      <c r="O55" s="2">
        <f>AVERAGE(O42:O54)</f>
        <v>5.8531390355582325</v>
      </c>
      <c r="P55" s="2">
        <f>AVERAGE(P42:P54)</f>
        <v>7.6807971196341907</v>
      </c>
      <c r="Q55" s="2">
        <f>AVERAGE(Q42:Q54)</f>
        <v>9.5588483923429095</v>
      </c>
      <c r="R55" s="2">
        <f>AVERAGE(R42:R54)</f>
        <v>11.427546606685619</v>
      </c>
      <c r="S55" s="2">
        <f>AVERAGE(S42:S54)</f>
        <v>13.324389614233318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GraphSAGE vs GAT vs GCN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srestha sadhu</dc:creator>
  <cp:lastModifiedBy>srestha sadhu</cp:lastModifiedBy>
  <dcterms:created xsi:type="dcterms:W3CDTF">2025-12-09T11:08:49Z</dcterms:created>
  <dcterms:modified xsi:type="dcterms:W3CDTF">2025-12-09T11:09:33Z</dcterms:modified>
</cp:coreProperties>
</file>